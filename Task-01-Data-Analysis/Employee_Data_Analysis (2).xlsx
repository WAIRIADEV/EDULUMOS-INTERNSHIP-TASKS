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Cleaning_Log" sheetId="2" r:id="rId6"/>
    <sheet state="visible" name="Clean_Data" sheetId="3" r:id="rId7"/>
    <sheet state="visible" name="Pivots" sheetId="4" r:id="rId8"/>
    <sheet state="visible" name="Pivot Table 1" sheetId="5" r:id="rId9"/>
    <sheet state="visible" name="Pivot Table 2" sheetId="6" r:id="rId10"/>
    <sheet state="visible" name="Charts" sheetId="7" r:id="rId11"/>
    <sheet state="visible" name="Summary" sheetId="8" r:id="rId12"/>
  </sheets>
  <definedNames>
    <definedName hidden="1" localSheetId="2" name="_xlnm._FilterDatabase">Clean_Data!$A$1:$J$475</definedName>
  </definedNames>
  <calcPr/>
  <pivotCaches>
    <pivotCache cacheId="0" r:id="rId13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35">
      <text>
        <t xml:space="preserve">Birth date was blank in the source file. Left blank (not imputed).</t>
      </text>
    </comment>
  </commentList>
</comments>
</file>

<file path=xl/sharedStrings.xml><?xml version="1.0" encoding="utf-8"?>
<sst xmlns="http://schemas.openxmlformats.org/spreadsheetml/2006/main" count="6270" uniqueCount="1310">
  <si>
    <t>Pivot Summaries (formula-driven)</t>
  </si>
  <si>
    <t>Built with COUNTIF/AVERAGEIF so they update with the data. To make a native PivotTable: select Clean_Data &gt; Insert &gt; PivotTable.</t>
  </si>
  <si>
    <t>By Job Category</t>
  </si>
  <si>
    <t>gender</t>
  </si>
  <si>
    <t>Job Category</t>
  </si>
  <si>
    <t>bdate</t>
  </si>
  <si>
    <t>educ</t>
  </si>
  <si>
    <t>Headcount</t>
  </si>
  <si>
    <t>jobcat</t>
  </si>
  <si>
    <t>salary</t>
  </si>
  <si>
    <t>Cleaning Log and Assumptions</t>
  </si>
  <si>
    <t>salbegin</t>
  </si>
  <si>
    <t>Avg Salary</t>
  </si>
  <si>
    <t>jobtime</t>
  </si>
  <si>
    <t>prevexp</t>
  </si>
  <si>
    <t>minority</t>
  </si>
  <si>
    <t>Avg Starting Salary</t>
  </si>
  <si>
    <t>1.0</t>
  </si>
  <si>
    <t>Step</t>
  </si>
  <si>
    <t>% of Headcount</t>
  </si>
  <si>
    <t>Male</t>
  </si>
  <si>
    <t>ID</t>
  </si>
  <si>
    <t>1952-02-03</t>
  </si>
  <si>
    <t>What was found / done</t>
  </si>
  <si>
    <t>15</t>
  </si>
  <si>
    <t>Clerical</t>
  </si>
  <si>
    <t>Manager</t>
  </si>
  <si>
    <t>57000.0</t>
  </si>
  <si>
    <t>Gender</t>
  </si>
  <si>
    <t>Rows imported</t>
  </si>
  <si>
    <t>27000.0</t>
  </si>
  <si>
    <t>98.0</t>
  </si>
  <si>
    <t>144.0</t>
  </si>
  <si>
    <t>No</t>
  </si>
  <si>
    <t>Birth Date</t>
  </si>
  <si>
    <t>2.0</t>
  </si>
  <si>
    <t>1958-05-23</t>
  </si>
  <si>
    <t>Education (yrs)</t>
  </si>
  <si>
    <t>16</t>
  </si>
  <si>
    <t>40200.0</t>
  </si>
  <si>
    <t>18750.0</t>
  </si>
  <si>
    <t>36.0</t>
  </si>
  <si>
    <t>3.0</t>
  </si>
  <si>
    <t>Female</t>
  </si>
  <si>
    <t>1929-07-26</t>
  </si>
  <si>
    <t>12</t>
  </si>
  <si>
    <t>21450.0</t>
  </si>
  <si>
    <t>474 rows, 10 columns. Raw_Data sheet is an untouched copy.</t>
  </si>
  <si>
    <t>12000.0</t>
  </si>
  <si>
    <t>Remove duplicates</t>
  </si>
  <si>
    <t>381.0</t>
  </si>
  <si>
    <t>0 exact duplicate rows and 0 duplicate IDs found. Nothing removed. Rows after: 474.</t>
  </si>
  <si>
    <t>Blank values</t>
  </si>
  <si>
    <t>Current Salary</t>
  </si>
  <si>
    <t>4.0</t>
  </si>
  <si>
    <t>Birth Date blank for ID 434 (highlighted yellow). Left blank: a made-up date would be wrong and birth date is not used in any statistic.</t>
  </si>
  <si>
    <t>1947-04-15</t>
  </si>
  <si>
    <t>8</t>
  </si>
  <si>
    <t>Starting Salary</t>
  </si>
  <si>
    <t>'missing' text in Prev. Experience</t>
  </si>
  <si>
    <t>21900.0</t>
  </si>
  <si>
    <t>24 cells contained the text 'missing'. Converted to true blanks (not 0) so averages are not dragged down. AVERAGE/MEDIAN ignore blanks; Summary shows the blank count.</t>
  </si>
  <si>
    <t>Months in Job</t>
  </si>
  <si>
    <t>13200.0</t>
  </si>
  <si>
    <t>Column types</t>
  </si>
  <si>
    <t>190.0</t>
  </si>
  <si>
    <t>Prev. Experience (months)</t>
  </si>
  <si>
    <t>Salary columns = Currency; Birth Date = Short Date (m/d/yyyy); numeric columns = Number; ID = whole number.</t>
  </si>
  <si>
    <t>Minority</t>
  </si>
  <si>
    <t>TRIM text columns</t>
  </si>
  <si>
    <t>5.0</t>
  </si>
  <si>
    <t>Checked every text cell for leading/trailing spaces: 0 found. In Excel you would use =TRIM(cell); nothing needed fixing here.</t>
  </si>
  <si>
    <t>1955-02-09</t>
  </si>
  <si>
    <t>Column mapping</t>
  </si>
  <si>
    <t>45000.0</t>
  </si>
  <si>
    <t>21000.0</t>
  </si>
  <si>
    <t>138.0</t>
  </si>
  <si>
    <t xml:space="preserve"> instructions mention Department, EmpID, DateofHire, DOB, Absences. This file has: Job Category (=Department), ID (=EmpID), Birth Date (=DOB). It has no hire date or absences column.</t>
  </si>
  <si>
    <t>6.0</t>
  </si>
  <si>
    <t>1958-08-22</t>
  </si>
  <si>
    <t>32100.0</t>
  </si>
  <si>
    <t>13500.0</t>
  </si>
  <si>
    <t>Outlier to review</t>
  </si>
  <si>
    <t>67.0</t>
  </si>
  <si>
    <t>ID 218: Clerical, starting salary $15,750, current salary $80,000. Looks like a possible data-entry error. Kept as-is; check the source before drawing conclusions about Clerical pay.</t>
  </si>
  <si>
    <t>Pivot tables</t>
  </si>
  <si>
    <t>7.0</t>
  </si>
  <si>
    <t>Built as COUNTIF/AVERAGEIF tables so they stay live. Native PivotTable steps are in the Pivots sheet header.</t>
  </si>
  <si>
    <t>1956-04-26</t>
  </si>
  <si>
    <t>36000.0</t>
  </si>
  <si>
    <t>114.0</t>
  </si>
  <si>
    <t>8.0</t>
  </si>
  <si>
    <t>1966-05-06</t>
  </si>
  <si>
    <t>9750.0</t>
  </si>
  <si>
    <t>missing</t>
  </si>
  <si>
    <t>9.0</t>
  </si>
  <si>
    <t>1946-01-23</t>
  </si>
  <si>
    <t>27900.0</t>
  </si>
  <si>
    <t>12750.0</t>
  </si>
  <si>
    <t>115.0</t>
  </si>
  <si>
    <t>10.0</t>
  </si>
  <si>
    <t>1946-02-13</t>
  </si>
  <si>
    <t>24000.0</t>
  </si>
  <si>
    <t>244.0</t>
  </si>
  <si>
    <t>11.0</t>
  </si>
  <si>
    <t>1950-02-07</t>
  </si>
  <si>
    <t>30300.0</t>
  </si>
  <si>
    <t>16500.0</t>
  </si>
  <si>
    <t>143.0</t>
  </si>
  <si>
    <t>12.0</t>
  </si>
  <si>
    <t>1966-01-11</t>
  </si>
  <si>
    <t>28350.0</t>
  </si>
  <si>
    <t>26.0</t>
  </si>
  <si>
    <t>Yes</t>
  </si>
  <si>
    <t>13.0</t>
  </si>
  <si>
    <t>1960-07-17</t>
  </si>
  <si>
    <t>27750.0</t>
  </si>
  <si>
    <t>14250.0</t>
  </si>
  <si>
    <t>34.0</t>
  </si>
  <si>
    <t>14.0</t>
  </si>
  <si>
    <t>1949-02-26</t>
  </si>
  <si>
    <t>35100.0</t>
  </si>
  <si>
    <t>16800.0</t>
  </si>
  <si>
    <t>137.0</t>
  </si>
  <si>
    <t>15.0</t>
  </si>
  <si>
    <t>1962-08-29</t>
  </si>
  <si>
    <t>27300.0</t>
  </si>
  <si>
    <t>97.0</t>
  </si>
  <si>
    <t>66.0</t>
  </si>
  <si>
    <t>16.0</t>
  </si>
  <si>
    <t>1964-11-17</t>
  </si>
  <si>
    <t>40800.0</t>
  </si>
  <si>
    <t>15000.0</t>
  </si>
  <si>
    <t>Custodial</t>
  </si>
  <si>
    <t>24.0</t>
  </si>
  <si>
    <t>17.0</t>
  </si>
  <si>
    <t>1962-07-18</t>
  </si>
  <si>
    <t>46000.0</t>
  </si>
  <si>
    <t>48.0</t>
  </si>
  <si>
    <t>18.0</t>
  </si>
  <si>
    <t>1956-03-20</t>
  </si>
  <si>
    <t>103750.0</t>
  </si>
  <si>
    <t>27510.0</t>
  </si>
  <si>
    <t>70.0</t>
  </si>
  <si>
    <t>19.0</t>
  </si>
  <si>
    <t>1962-08-19</t>
  </si>
  <si>
    <t>42300.0</t>
  </si>
  <si>
    <t>103.0</t>
  </si>
  <si>
    <t>20.0</t>
  </si>
  <si>
    <t>1940-01-23</t>
  </si>
  <si>
    <t>26250.0</t>
  </si>
  <si>
    <t>11550.0</t>
  </si>
  <si>
    <t>21.0</t>
  </si>
  <si>
    <t>1963-02-19</t>
  </si>
  <si>
    <t>38850.0</t>
  </si>
  <si>
    <t>22.0</t>
  </si>
  <si>
    <t>1940-09-24</t>
  </si>
  <si>
    <t>21750.0</t>
  </si>
  <si>
    <t>315.0</t>
  </si>
  <si>
    <t>23.0</t>
  </si>
  <si>
    <t>1965-03-15</t>
  </si>
  <si>
    <t>11100.0</t>
  </si>
  <si>
    <t>75.0</t>
  </si>
  <si>
    <t>1933-03-27</t>
  </si>
  <si>
    <t>16950.0</t>
  </si>
  <si>
    <t>9000.0</t>
  </si>
  <si>
    <t>124.0</t>
  </si>
  <si>
    <t>25.0</t>
  </si>
  <si>
    <t>1942-07-01</t>
  </si>
  <si>
    <t>21150.0</t>
  </si>
  <si>
    <t>171.0</t>
  </si>
  <si>
    <t>1966-11-08</t>
  </si>
  <si>
    <t>31050.0</t>
  </si>
  <si>
    <t>12600.0</t>
  </si>
  <si>
    <t>96.0</t>
  </si>
  <si>
    <t>Total</t>
  </si>
  <si>
    <t>27.0</t>
  </si>
  <si>
    <t>1954-03-19</t>
  </si>
  <si>
    <t>19</t>
  </si>
  <si>
    <t>60375.0</t>
  </si>
  <si>
    <t>27480.0</t>
  </si>
  <si>
    <t>28.0</t>
  </si>
  <si>
    <t>1963-04-11</t>
  </si>
  <si>
    <t>32550.0</t>
  </si>
  <si>
    <t>43.0</t>
  </si>
  <si>
    <t>29.0</t>
  </si>
  <si>
    <t>1944-01-28</t>
  </si>
  <si>
    <t>135000.0</t>
  </si>
  <si>
    <t>79980.0</t>
  </si>
  <si>
    <t>199.0</t>
  </si>
  <si>
    <t>30.0</t>
  </si>
  <si>
    <t>1961-09-17</t>
  </si>
  <si>
    <t>31200.0</t>
  </si>
  <si>
    <t>54.0</t>
  </si>
  <si>
    <t>31.0</t>
  </si>
  <si>
    <t>1964-02-24</t>
  </si>
  <si>
    <t>36150.0</t>
  </si>
  <si>
    <t>83.0</t>
  </si>
  <si>
    <t>32.0</t>
  </si>
  <si>
    <t>1954-01-28</t>
  </si>
  <si>
    <t>110625.0</t>
  </si>
  <si>
    <t>120.0</t>
  </si>
  <si>
    <t>By Gender</t>
  </si>
  <si>
    <t>33.0</t>
  </si>
  <si>
    <t>1961-03-18</t>
  </si>
  <si>
    <t>42000.0</t>
  </si>
  <si>
    <t>68.0</t>
  </si>
  <si>
    <t>1949-02-02</t>
  </si>
  <si>
    <t>92000.0</t>
  </si>
  <si>
    <t>39990.0</t>
  </si>
  <si>
    <t>175.0</t>
  </si>
  <si>
    <t>35.0</t>
  </si>
  <si>
    <t>1961-08-22</t>
  </si>
  <si>
    <t>17</t>
  </si>
  <si>
    <t>81250.0</t>
  </si>
  <si>
    <t>30000.0</t>
  </si>
  <si>
    <t>1963-08-07</t>
  </si>
  <si>
    <t>31350.0</t>
  </si>
  <si>
    <t>11250.0</t>
  </si>
  <si>
    <t>52.0</t>
  </si>
  <si>
    <t>37.0</t>
  </si>
  <si>
    <t>1954-10-09</t>
  </si>
  <si>
    <t>29100.0</t>
  </si>
  <si>
    <t>113.0</t>
  </si>
  <si>
    <t>38.0</t>
  </si>
  <si>
    <t>1962-04-27</t>
  </si>
  <si>
    <t>49.0</t>
  </si>
  <si>
    <t>39.0</t>
  </si>
  <si>
    <t>1960-06-22</t>
  </si>
  <si>
    <t>46.0</t>
  </si>
  <si>
    <t>40.0</t>
  </si>
  <si>
    <t>1933-08-28</t>
  </si>
  <si>
    <t>19200.0</t>
  </si>
  <si>
    <t>41.0</t>
  </si>
  <si>
    <t>23550.0</t>
  </si>
  <si>
    <t>42.0</t>
  </si>
  <si>
    <t>1960-09-23</t>
  </si>
  <si>
    <t>95.0</t>
  </si>
  <si>
    <t>90.0</t>
  </si>
  <si>
    <t>1964-01-18</t>
  </si>
  <si>
    <t>23250.0</t>
  </si>
  <si>
    <t>44.0</t>
  </si>
  <si>
    <t>1963-06-15</t>
  </si>
  <si>
    <t>29250.0</t>
  </si>
  <si>
    <t>50.0</t>
  </si>
  <si>
    <t>45.0</t>
  </si>
  <si>
    <t>1938-08-02</t>
  </si>
  <si>
    <t>30750.0</t>
  </si>
  <si>
    <t>307.0</t>
  </si>
  <si>
    <t>1940-11-18</t>
  </si>
  <si>
    <t>22350.0</t>
  </si>
  <si>
    <t>165.0</t>
  </si>
  <si>
    <t>47.0</t>
  </si>
  <si>
    <t>1938-04-28</t>
  </si>
  <si>
    <t>228.0</t>
  </si>
  <si>
    <t>1947-06-07</t>
  </si>
  <si>
    <t>14100.0</t>
  </si>
  <si>
    <t>94.0</t>
  </si>
  <si>
    <t>240.0</t>
  </si>
  <si>
    <t>1958-09-16</t>
  </si>
  <si>
    <t>34800.0</t>
  </si>
  <si>
    <t>93.0</t>
  </si>
  <si>
    <t>1960-02-09</t>
  </si>
  <si>
    <t>60000.0</t>
  </si>
  <si>
    <t>23730.0</t>
  </si>
  <si>
    <t>59.0</t>
  </si>
  <si>
    <t>51.0</t>
  </si>
  <si>
    <t>1962-07-08</t>
  </si>
  <si>
    <t>35550.0</t>
  </si>
  <si>
    <t>1963-11-12</t>
  </si>
  <si>
    <t>45150.0</t>
  </si>
  <si>
    <t>53.0</t>
  </si>
  <si>
    <t>1954-04-21</t>
  </si>
  <si>
    <t>18</t>
  </si>
  <si>
    <t>73750.0</t>
  </si>
  <si>
    <t>56.0</t>
  </si>
  <si>
    <t>1931-06-04</t>
  </si>
  <si>
    <t>25050.0</t>
  </si>
  <si>
    <t>444.0</t>
  </si>
  <si>
    <t>55.0</t>
  </si>
  <si>
    <t>1960-06-25</t>
  </si>
  <si>
    <t>1962-04-16</t>
  </si>
  <si>
    <t>26850.0</t>
  </si>
  <si>
    <t>57.0</t>
  </si>
  <si>
    <t>By Minority Status</t>
  </si>
  <si>
    <t>1963-04-15</t>
  </si>
  <si>
    <t>33900.0</t>
  </si>
  <si>
    <t>15750.0</t>
  </si>
  <si>
    <t>78.0</t>
  </si>
  <si>
    <t>58.0</t>
  </si>
  <si>
    <t>1964-11-14</t>
  </si>
  <si>
    <t>26400.0</t>
  </si>
  <si>
    <t>1961-05-07</t>
  </si>
  <si>
    <t>28050.0</t>
  </si>
  <si>
    <t>60.0</t>
  </si>
  <si>
    <t>1959-02-16</t>
  </si>
  <si>
    <t>30900.0</t>
  </si>
  <si>
    <t>102.0</t>
  </si>
  <si>
    <t>61.0</t>
  </si>
  <si>
    <t>1964-04-28</t>
  </si>
  <si>
    <t>22500.0</t>
  </si>
  <si>
    <t>62.0</t>
  </si>
  <si>
    <t>48000.0</t>
  </si>
  <si>
    <t>63.0</t>
  </si>
  <si>
    <t>1961-08-20</t>
  </si>
  <si>
    <t>55000.0</t>
  </si>
  <si>
    <t>64.0</t>
  </si>
  <si>
    <t>1963-09-28</t>
  </si>
  <si>
    <t>53125.0</t>
  </si>
  <si>
    <t>65.0</t>
  </si>
  <si>
    <t>1964-03-28</t>
  </si>
  <si>
    <t>14550.0</t>
  </si>
  <si>
    <t>1962-02-16</t>
  </si>
  <si>
    <t>78125.0</t>
  </si>
  <si>
    <t>1964-05-28</t>
  </si>
  <si>
    <t>21240.0</t>
  </si>
  <si>
    <t>1963-05-05</t>
  </si>
  <si>
    <t>45250.0</t>
  </si>
  <si>
    <t>21480.0</t>
  </si>
  <si>
    <t>69.0</t>
  </si>
  <si>
    <t>1960-06-23</t>
  </si>
  <si>
    <t>56550.0</t>
  </si>
  <si>
    <t>25000.0</t>
  </si>
  <si>
    <t>1962-02-08</t>
  </si>
  <si>
    <t>41100.0</t>
  </si>
  <si>
    <t>20250.0</t>
  </si>
  <si>
    <t>71.0</t>
  </si>
  <si>
    <t>1948-08-26</t>
  </si>
  <si>
    <t>82500.0</t>
  </si>
  <si>
    <t>34980.0</t>
  </si>
  <si>
    <t>207.0</t>
  </si>
  <si>
    <t>72.0</t>
  </si>
  <si>
    <t>1964-01-07</t>
  </si>
  <si>
    <t>54000.0</t>
  </si>
  <si>
    <t>18000.0</t>
  </si>
  <si>
    <t>73.0</t>
  </si>
  <si>
    <t>1968-02-09</t>
  </si>
  <si>
    <t>10500.0</t>
  </si>
  <si>
    <t>74.0</t>
  </si>
  <si>
    <t>1933-04-28</t>
  </si>
  <si>
    <t>19500.0</t>
  </si>
  <si>
    <t>192.0</t>
  </si>
  <si>
    <t>1965-08-12</t>
  </si>
  <si>
    <t>24150.0</t>
  </si>
  <si>
    <t>76.0</t>
  </si>
  <si>
    <t>Average Salary: Gender x Job Category</t>
  </si>
  <si>
    <t>1967-09-03</t>
  </si>
  <si>
    <t>77.0</t>
  </si>
  <si>
    <t>1968-09-09</t>
  </si>
  <si>
    <t>27600.0</t>
  </si>
  <si>
    <t>11400.0</t>
  </si>
  <si>
    <t>1968-08-20</t>
  </si>
  <si>
    <t>22950.0</t>
  </si>
  <si>
    <t>79.0</t>
  </si>
  <si>
    <t>1962-01-23</t>
  </si>
  <si>
    <t>80.0</t>
  </si>
  <si>
    <t>1961-05-25</t>
  </si>
  <si>
    <t>51000.0</t>
  </si>
  <si>
    <t>81.0</t>
  </si>
  <si>
    <t>1968-03-12</t>
  </si>
  <si>
    <t>24300.0</t>
  </si>
  <si>
    <t>10950.0</t>
  </si>
  <si>
    <t>82.0</t>
  </si>
  <si>
    <t>1947-08-28</t>
  </si>
  <si>
    <t>24750.0</t>
  </si>
  <si>
    <t>193.0</t>
  </si>
  <si>
    <t>1967-10-12</t>
  </si>
  <si>
    <t>84.0</t>
  </si>
  <si>
    <t>1967-03-12</t>
  </si>
  <si>
    <t>85.0</t>
  </si>
  <si>
    <t>1962-04-09</t>
  </si>
  <si>
    <t>25950.0</t>
  </si>
  <si>
    <t>17100.0</t>
  </si>
  <si>
    <t>92.0</t>
  </si>
  <si>
    <t>86.0</t>
  </si>
  <si>
    <t>1961-08-25</t>
  </si>
  <si>
    <t>31650.0</t>
  </si>
  <si>
    <t>87.0</t>
  </si>
  <si>
    <t>1959-10-20</t>
  </si>
  <si>
    <t>130.0</t>
  </si>
  <si>
    <t>88.0</t>
  </si>
  <si>
    <t>1962-02-10</t>
  </si>
  <si>
    <t>72500.0</t>
  </si>
  <si>
    <t>28740.0</t>
  </si>
  <si>
    <t>89.0</t>
  </si>
  <si>
    <t>1961-06-24</t>
  </si>
  <si>
    <t>68750.0</t>
  </si>
  <si>
    <t>1938-02-27</t>
  </si>
  <si>
    <t>16200.0</t>
  </si>
  <si>
    <t>91.0</t>
  </si>
  <si>
    <t>1967-11-04</t>
  </si>
  <si>
    <t>20100.0</t>
  </si>
  <si>
    <t>1968-06-25</t>
  </si>
  <si>
    <t>1968-03-05</t>
  </si>
  <si>
    <t>1950-08-04</t>
  </si>
  <si>
    <t>24600.0</t>
  </si>
  <si>
    <t>10050.0</t>
  </si>
  <si>
    <t>1968-08-08</t>
  </si>
  <si>
    <t>28500.0</t>
  </si>
  <si>
    <t>1933-10-02</t>
  </si>
  <si>
    <t>432.0</t>
  </si>
  <si>
    <t>1953-01-18</t>
  </si>
  <si>
    <t>Note: no female employees in Custodial, so that cell shows $0 (IFERROR guard), not a real average.</t>
  </si>
  <si>
    <t>168.0</t>
  </si>
  <si>
    <t>1956-05-17</t>
  </si>
  <si>
    <t>99.0</t>
  </si>
  <si>
    <t>1968-07-07</t>
  </si>
  <si>
    <t>22050.0</t>
  </si>
  <si>
    <t>100.0</t>
  </si>
  <si>
    <t>1963-10-25</t>
  </si>
  <si>
    <t>78250.0</t>
  </si>
  <si>
    <t>101.0</t>
  </si>
  <si>
    <t>1960-03-14</t>
  </si>
  <si>
    <t>60625.0</t>
  </si>
  <si>
    <t>1963-03-28</t>
  </si>
  <si>
    <t>14</t>
  </si>
  <si>
    <t>39900.0</t>
  </si>
  <si>
    <t>1959-03-17</t>
  </si>
  <si>
    <t>97000.0</t>
  </si>
  <si>
    <t>35010.0</t>
  </si>
  <si>
    <t>104.0</t>
  </si>
  <si>
    <t>1962-11-05</t>
  </si>
  <si>
    <t>27450.0</t>
  </si>
  <si>
    <t>105.0</t>
  </si>
  <si>
    <t>1966-03-07</t>
  </si>
  <si>
    <t>106.0</t>
  </si>
  <si>
    <t>1962-08-04</t>
  </si>
  <si>
    <t>91250.0</t>
  </si>
  <si>
    <t>29490.0</t>
  </si>
  <si>
    <t>107.0</t>
  </si>
  <si>
    <t>1960-08-16</t>
  </si>
  <si>
    <t>25200.0</t>
  </si>
  <si>
    <t>14400.0</t>
  </si>
  <si>
    <t>108.0</t>
  </si>
  <si>
    <t>1930-07-16</t>
  </si>
  <si>
    <t>109.0</t>
  </si>
  <si>
    <t>1963-11-10</t>
  </si>
  <si>
    <t>30450.0</t>
  </si>
  <si>
    <t>110.0</t>
  </si>
  <si>
    <t>1952-10-29</t>
  </si>
  <si>
    <t>151.0</t>
  </si>
  <si>
    <t>111.0</t>
  </si>
  <si>
    <t>1940-11-27</t>
  </si>
  <si>
    <t>314.0</t>
  </si>
  <si>
    <t>112.0</t>
  </si>
  <si>
    <t>1948-06-21</t>
  </si>
  <si>
    <t>1959-10-06</t>
  </si>
  <si>
    <t>54875.0</t>
  </si>
  <si>
    <t>37800.0</t>
  </si>
  <si>
    <t>1961-05-12</t>
  </si>
  <si>
    <t>33450.0</t>
  </si>
  <si>
    <t>116.0</t>
  </si>
  <si>
    <t>1962-06-09</t>
  </si>
  <si>
    <t>117.0</t>
  </si>
  <si>
    <t>1932-01-14</t>
  </si>
  <si>
    <t>31500.0</t>
  </si>
  <si>
    <t>205.0</t>
  </si>
  <si>
    <t>118.0</t>
  </si>
  <si>
    <t>1964-03-04</t>
  </si>
  <si>
    <t>119.0</t>
  </si>
  <si>
    <t>1963-07-23</t>
  </si>
  <si>
    <t>1964-11-12</t>
  </si>
  <si>
    <t>121.0</t>
  </si>
  <si>
    <t>1936-08-06</t>
  </si>
  <si>
    <t>122.0</t>
  </si>
  <si>
    <t>1965-09-26</t>
  </si>
  <si>
    <t>123.0</t>
  </si>
  <si>
    <t>1949-04-24</t>
  </si>
  <si>
    <t>33300.0</t>
  </si>
  <si>
    <t>1963-05-29</t>
  </si>
  <si>
    <t>38550.0</t>
  </si>
  <si>
    <t>125.0</t>
  </si>
  <si>
    <t>1956-08-06</t>
  </si>
  <si>
    <t>173.0</t>
  </si>
  <si>
    <t>126.0</t>
  </si>
  <si>
    <t>1951-01-21</t>
  </si>
  <si>
    <t>191.0</t>
  </si>
  <si>
    <t>127.0</t>
  </si>
  <si>
    <t>1950-09-01</t>
  </si>
  <si>
    <t>209.0</t>
  </si>
  <si>
    <t>128.0</t>
  </si>
  <si>
    <t>1946-07-25</t>
  </si>
  <si>
    <t>19650.0</t>
  </si>
  <si>
    <t>229.0</t>
  </si>
  <si>
    <t>129.0</t>
  </si>
  <si>
    <t>1959-07-18</t>
  </si>
  <si>
    <t>1958-09-06</t>
  </si>
  <si>
    <t>20</t>
  </si>
  <si>
    <t>59375.0</t>
  </si>
  <si>
    <t>131.0</t>
  </si>
  <si>
    <t>132.0</t>
  </si>
  <si>
    <t>1953-05-17</t>
  </si>
  <si>
    <t>17250.0</t>
  </si>
  <si>
    <t>133.0</t>
  </si>
  <si>
    <t>1959-09-12</t>
  </si>
  <si>
    <t>134.0</t>
  </si>
  <si>
    <t>1941-11-10</t>
  </si>
  <si>
    <t>41550.0</t>
  </si>
  <si>
    <t>24990.0</t>
  </si>
  <si>
    <t>285.0</t>
  </si>
  <si>
    <t>135.0</t>
  </si>
  <si>
    <t>1968-05-22</t>
  </si>
  <si>
    <t>136.0</t>
  </si>
  <si>
    <t>1939-08-25</t>
  </si>
  <si>
    <t>22200.0</t>
  </si>
  <si>
    <t>324.0</t>
  </si>
  <si>
    <t>1937-07-12</t>
  </si>
  <si>
    <t>21</t>
  </si>
  <si>
    <t>65000.0</t>
  </si>
  <si>
    <t>37500.0</t>
  </si>
  <si>
    <t>264.0</t>
  </si>
  <si>
    <t>1947-01-09</t>
  </si>
  <si>
    <t>252.0</t>
  </si>
  <si>
    <t>139.0</t>
  </si>
  <si>
    <t>1931-06-18</t>
  </si>
  <si>
    <t>140.0</t>
  </si>
  <si>
    <t>1965-04-05</t>
  </si>
  <si>
    <t>141.0</t>
  </si>
  <si>
    <t>1966-06-14</t>
  </si>
  <si>
    <t>13350.0</t>
  </si>
  <si>
    <t>142.0</t>
  </si>
  <si>
    <t>1966-11-13</t>
  </si>
  <si>
    <t>13950.0</t>
  </si>
  <si>
    <t>1939-08-24</t>
  </si>
  <si>
    <t>24450.0</t>
  </si>
  <si>
    <t>1931-08-28</t>
  </si>
  <si>
    <t>16650.0</t>
  </si>
  <si>
    <t>412.0</t>
  </si>
  <si>
    <t>145.0</t>
  </si>
  <si>
    <t>1964-01-15</t>
  </si>
  <si>
    <t>26700.0</t>
  </si>
  <si>
    <t>146.0</t>
  </si>
  <si>
    <t>1951-01-02</t>
  </si>
  <si>
    <t>43950.0</t>
  </si>
  <si>
    <t>182.0</t>
  </si>
  <si>
    <t>147.0</t>
  </si>
  <si>
    <t>1936-09-11</t>
  </si>
  <si>
    <t>23700.0</t>
  </si>
  <si>
    <t>359.0</t>
  </si>
  <si>
    <t>148.0</t>
  </si>
  <si>
    <t>1959-10-05</t>
  </si>
  <si>
    <t>26550.0</t>
  </si>
  <si>
    <t>149.0</t>
  </si>
  <si>
    <t>1962-06-28</t>
  </si>
  <si>
    <t>150.0</t>
  </si>
  <si>
    <t>1954-03-05</t>
  </si>
  <si>
    <t>25800.0</t>
  </si>
  <si>
    <t>1954-08-16</t>
  </si>
  <si>
    <t>152.0</t>
  </si>
  <si>
    <t>1929-05-03</t>
  </si>
  <si>
    <t>451.0</t>
  </si>
  <si>
    <t>153.0</t>
  </si>
  <si>
    <t>1967-05-13</t>
  </si>
  <si>
    <t>12900.0</t>
  </si>
  <si>
    <t>154.0</t>
  </si>
  <si>
    <t>1940-06-07</t>
  </si>
  <si>
    <t>20850.0</t>
  </si>
  <si>
    <t>163.0</t>
  </si>
  <si>
    <t>155.0</t>
  </si>
  <si>
    <t>1963-03-06</t>
  </si>
  <si>
    <t>35250.0</t>
  </si>
  <si>
    <t>156.0</t>
  </si>
  <si>
    <t>1963-01-12</t>
  </si>
  <si>
    <t>157.0</t>
  </si>
  <si>
    <t>1967-07-02</t>
  </si>
  <si>
    <t>13050.0</t>
  </si>
  <si>
    <t>158.0</t>
  </si>
  <si>
    <t>1964-09-20</t>
  </si>
  <si>
    <t>159.0</t>
  </si>
  <si>
    <t>1951-01-13</t>
  </si>
  <si>
    <t>160.0</t>
  </si>
  <si>
    <t>1951-08-27</t>
  </si>
  <si>
    <t>66000.0</t>
  </si>
  <si>
    <t>47490.0</t>
  </si>
  <si>
    <t>161.0</t>
  </si>
  <si>
    <t>1963-02-11</t>
  </si>
  <si>
    <t>52650.0</t>
  </si>
  <si>
    <t>162.0</t>
  </si>
  <si>
    <t>45625.0</t>
  </si>
  <si>
    <t>1965-11-10</t>
  </si>
  <si>
    <t>164.0</t>
  </si>
  <si>
    <t>1965-08-13</t>
  </si>
  <si>
    <t>29400.0</t>
  </si>
  <si>
    <t>1966-04-29</t>
  </si>
  <si>
    <t>166.0</t>
  </si>
  <si>
    <t>1942-07-12</t>
  </si>
  <si>
    <t>167.0</t>
  </si>
  <si>
    <t>1932-08-26</t>
  </si>
  <si>
    <t>18150.0</t>
  </si>
  <si>
    <t>1962-04-23</t>
  </si>
  <si>
    <t>46875.0</t>
  </si>
  <si>
    <t>169.0</t>
  </si>
  <si>
    <t>1965-05-23</t>
  </si>
  <si>
    <t>25500.0</t>
  </si>
  <si>
    <t>170.0</t>
  </si>
  <si>
    <t>1964-06-13</t>
  </si>
  <si>
    <t>1930-01-21</t>
  </si>
  <si>
    <t>367.0</t>
  </si>
  <si>
    <t>172.0</t>
  </si>
  <si>
    <t>1953-06-13</t>
  </si>
  <si>
    <t>29850.0</t>
  </si>
  <si>
    <t>1950-01-15</t>
  </si>
  <si>
    <t>69250.0</t>
  </si>
  <si>
    <t>42480.0</t>
  </si>
  <si>
    <t>174.0</t>
  </si>
  <si>
    <t>1935-01-07</t>
  </si>
  <si>
    <t>31950.0</t>
  </si>
  <si>
    <t>438.0</t>
  </si>
  <si>
    <t>1938-01-08</t>
  </si>
  <si>
    <t>15600.0</t>
  </si>
  <si>
    <t>176.0</t>
  </si>
  <si>
    <t>1962-10-05</t>
  </si>
  <si>
    <t>35700.0</t>
  </si>
  <si>
    <t>177.0</t>
  </si>
  <si>
    <t>1962-08-11</t>
  </si>
  <si>
    <t>178.0</t>
  </si>
  <si>
    <t>1938-01-17</t>
  </si>
  <si>
    <t>10200.0</t>
  </si>
  <si>
    <t>179.0</t>
  </si>
  <si>
    <t>1965-01-19</t>
  </si>
  <si>
    <t>180.0</t>
  </si>
  <si>
    <t>1960-01-23</t>
  </si>
  <si>
    <t>181.0</t>
  </si>
  <si>
    <t>1939-01-04</t>
  </si>
  <si>
    <t>1943-03-08</t>
  </si>
  <si>
    <t>18450.0</t>
  </si>
  <si>
    <t>183.0</t>
  </si>
  <si>
    <t>1960-03-01</t>
  </si>
  <si>
    <t>39300.0</t>
  </si>
  <si>
    <t>184.0</t>
  </si>
  <si>
    <t>1964-11-05</t>
  </si>
  <si>
    <t>185.0</t>
  </si>
  <si>
    <t>1930-08-28</t>
  </si>
  <si>
    <t>380.0</t>
  </si>
  <si>
    <t>186.0</t>
  </si>
  <si>
    <t>1964-07-06</t>
  </si>
  <si>
    <t>20400.0</t>
  </si>
  <si>
    <t>187.0</t>
  </si>
  <si>
    <t>1963-07-29</t>
  </si>
  <si>
    <t>58750.0</t>
  </si>
  <si>
    <t>188.0</t>
  </si>
  <si>
    <t>1934-02-04</t>
  </si>
  <si>
    <t>34500.0</t>
  </si>
  <si>
    <t>208.0</t>
  </si>
  <si>
    <t>189.0</t>
  </si>
  <si>
    <t>1950-03-28</t>
  </si>
  <si>
    <t>19980.0</t>
  </si>
  <si>
    <t>1932-11-15</t>
  </si>
  <si>
    <t>1931-10-23</t>
  </si>
  <si>
    <t>288.0</t>
  </si>
  <si>
    <t>1949-10-09</t>
  </si>
  <si>
    <t>1966-07-22</t>
  </si>
  <si>
    <t>194.0</t>
  </si>
  <si>
    <t>1938-04-10</t>
  </si>
  <si>
    <t>27150.0</t>
  </si>
  <si>
    <t>Avg salary</t>
  </si>
  <si>
    <t>231.0</t>
  </si>
  <si>
    <t>195.0</t>
  </si>
  <si>
    <t>1955-11-06</t>
  </si>
  <si>
    <t>196.0</t>
  </si>
  <si>
    <t>1946-03-03</t>
  </si>
  <si>
    <t>23100.0</t>
  </si>
  <si>
    <t>Grand Total</t>
  </si>
  <si>
    <t>214.0</t>
  </si>
  <si>
    <t>197.0</t>
  </si>
  <si>
    <t>1962-10-01</t>
  </si>
  <si>
    <t>54900.0</t>
  </si>
  <si>
    <t>198.0</t>
  </si>
  <si>
    <t>1952-03-17</t>
  </si>
  <si>
    <t>70875.0</t>
  </si>
  <si>
    <t>43500.0</t>
  </si>
  <si>
    <t>1958-02-02</t>
  </si>
  <si>
    <t>51250.0</t>
  </si>
  <si>
    <t>200.0</t>
  </si>
  <si>
    <t>1963-02-13</t>
  </si>
  <si>
    <t>67500.0</t>
  </si>
  <si>
    <t>201.0</t>
  </si>
  <si>
    <t>1955-05-08</t>
  </si>
  <si>
    <t>29340.0</t>
  </si>
  <si>
    <t>202.0</t>
  </si>
  <si>
    <t>1963-03-17</t>
  </si>
  <si>
    <t>39600.0</t>
  </si>
  <si>
    <t>203.0</t>
  </si>
  <si>
    <t>1964-03-17</t>
  </si>
  <si>
    <t>204.0</t>
  </si>
  <si>
    <t>1960-10-21</t>
  </si>
  <si>
    <t>33150.0</t>
  </si>
  <si>
    <t>1944-06-22</t>
  </si>
  <si>
    <t>66750.0</t>
  </si>
  <si>
    <t>52500.0</t>
  </si>
  <si>
    <t>258.0</t>
  </si>
  <si>
    <t>206.0</t>
  </si>
  <si>
    <t>1943-05-22</t>
  </si>
  <si>
    <t>33750.0</t>
  </si>
  <si>
    <t>284.0</t>
  </si>
  <si>
    <t>1959-02-15</t>
  </si>
  <si>
    <t>1968-11-28</t>
  </si>
  <si>
    <t>1934-01-14</t>
  </si>
  <si>
    <t>19800.0</t>
  </si>
  <si>
    <t>210.0</t>
  </si>
  <si>
    <t>1949-05-04</t>
  </si>
  <si>
    <t>30600.0</t>
  </si>
  <si>
    <t>216.0</t>
  </si>
  <si>
    <t>211.0</t>
  </si>
  <si>
    <t>1950-11-08</t>
  </si>
  <si>
    <t>28950.0</t>
  </si>
  <si>
    <t>212.0</t>
  </si>
  <si>
    <t>1965-05-14</t>
  </si>
  <si>
    <t>38400.0</t>
  </si>
  <si>
    <t>213.0</t>
  </si>
  <si>
    <t>1945-10-20</t>
  </si>
  <si>
    <t>302.0</t>
  </si>
  <si>
    <t>1968-09-13</t>
  </si>
  <si>
    <t>215.0</t>
  </si>
  <si>
    <t>1968-09-15</t>
  </si>
  <si>
    <t>1964-05-16</t>
  </si>
  <si>
    <t>30150.0</t>
  </si>
  <si>
    <t>217.0</t>
  </si>
  <si>
    <t>1949-03-15</t>
  </si>
  <si>
    <t>34620.0</t>
  </si>
  <si>
    <t>218.0</t>
  </si>
  <si>
    <t>1964-03-21</t>
  </si>
  <si>
    <t>80000.0</t>
  </si>
  <si>
    <t>219.0</t>
  </si>
  <si>
    <t>1963-02-02</t>
  </si>
  <si>
    <t>25350.0</t>
  </si>
  <si>
    <t>220.0</t>
  </si>
  <si>
    <t>1963-08-17</t>
  </si>
  <si>
    <t>221.0</t>
  </si>
  <si>
    <t>1947-05-22</t>
  </si>
  <si>
    <t>13800.0</t>
  </si>
  <si>
    <t>222.0</t>
  </si>
  <si>
    <t>1935-09-15</t>
  </si>
  <si>
    <t>265.0</t>
  </si>
  <si>
    <t>223.0</t>
  </si>
  <si>
    <t>1942-03-14</t>
  </si>
  <si>
    <t>224.0</t>
  </si>
  <si>
    <t>1934-11-20</t>
  </si>
  <si>
    <t>225.0</t>
  </si>
  <si>
    <t>1967-10-13</t>
  </si>
  <si>
    <t>226.0</t>
  </si>
  <si>
    <t>1964-06-21</t>
  </si>
  <si>
    <t>227.0</t>
  </si>
  <si>
    <t>1965-07-17</t>
  </si>
  <si>
    <t>1963-09-21</t>
  </si>
  <si>
    <t>25650.0</t>
  </si>
  <si>
    <t>1940-08-21</t>
  </si>
  <si>
    <t>358.0</t>
  </si>
  <si>
    <t>230.0</t>
  </si>
  <si>
    <t>371.0</t>
  </si>
  <si>
    <t>1965-01-09</t>
  </si>
  <si>
    <t>232.0</t>
  </si>
  <si>
    <t>1963-09-13</t>
  </si>
  <si>
    <t>55500.0</t>
  </si>
  <si>
    <t>233.0</t>
  </si>
  <si>
    <t>1963-07-21</t>
  </si>
  <si>
    <t>234.0</t>
  </si>
  <si>
    <t>1960-11-12</t>
  </si>
  <si>
    <t>50550.0</t>
  </si>
  <si>
    <t>235.0</t>
  </si>
  <si>
    <t>1962-09-11</t>
  </si>
  <si>
    <t>75000.0</t>
  </si>
  <si>
    <t>236.0</t>
  </si>
  <si>
    <t>1969-05-02</t>
  </si>
  <si>
    <t>237.0</t>
  </si>
  <si>
    <t>1969-06-04</t>
  </si>
  <si>
    <t>22650.0</t>
  </si>
  <si>
    <t>238.0</t>
  </si>
  <si>
    <t>1969-06-15</t>
  </si>
  <si>
    <t>239.0</t>
  </si>
  <si>
    <t>1969-09-14</t>
  </si>
  <si>
    <t>11225.0</t>
  </si>
  <si>
    <t>1961-06-15</t>
  </si>
  <si>
    <t>54375.0</t>
  </si>
  <si>
    <t>241.0</t>
  </si>
  <si>
    <t>1936-08-27</t>
  </si>
  <si>
    <t>17400.0</t>
  </si>
  <si>
    <t>390.0</t>
  </si>
  <si>
    <t>242.0</t>
  </si>
  <si>
    <t>1967-11-03</t>
  </si>
  <si>
    <t>243.0</t>
  </si>
  <si>
    <t>1969-02-10</t>
  </si>
  <si>
    <t>1969-09-15</t>
  </si>
  <si>
    <t>245.0</t>
  </si>
  <si>
    <t>1969-03-16</t>
  </si>
  <si>
    <t>246.0</t>
  </si>
  <si>
    <t>1968-01-14</t>
  </si>
  <si>
    <t>24900.0</t>
  </si>
  <si>
    <t>247.0</t>
  </si>
  <si>
    <t>1968-05-13</t>
  </si>
  <si>
    <t>248.0</t>
  </si>
  <si>
    <t>1969-04-09</t>
  </si>
  <si>
    <t>249.0</t>
  </si>
  <si>
    <t>1969-05-09</t>
  </si>
  <si>
    <t>250.0</t>
  </si>
  <si>
    <t>1966-10-10</t>
  </si>
  <si>
    <t>28200.0</t>
  </si>
  <si>
    <t>251.0</t>
  </si>
  <si>
    <t>1969-01-19</t>
  </si>
  <si>
    <t>1969-09-18</t>
  </si>
  <si>
    <t>253.0</t>
  </si>
  <si>
    <t>1942-02-21</t>
  </si>
  <si>
    <t>254.0</t>
  </si>
  <si>
    <t>1964-02-08</t>
  </si>
  <si>
    <t>68125.0</t>
  </si>
  <si>
    <t>32490.0</t>
  </si>
  <si>
    <t>255.0</t>
  </si>
  <si>
    <t>1932-08-15</t>
  </si>
  <si>
    <t>460.0</t>
  </si>
  <si>
    <t>256.0</t>
  </si>
  <si>
    <t>1948-01-03</t>
  </si>
  <si>
    <t>52125.0</t>
  </si>
  <si>
    <t>257.0</t>
  </si>
  <si>
    <t>1951-09-24</t>
  </si>
  <si>
    <t>61875.0</t>
  </si>
  <si>
    <t>36750.0</t>
  </si>
  <si>
    <t>1969-03-09</t>
  </si>
  <si>
    <t>21300.0</t>
  </si>
  <si>
    <t>259.0</t>
  </si>
  <si>
    <t>1969-03-15</t>
  </si>
  <si>
    <t>260.0</t>
  </si>
  <si>
    <t>1969-02-20</t>
  </si>
  <si>
    <t>261.0</t>
  </si>
  <si>
    <t>1969-03-27</t>
  </si>
  <si>
    <t>23400.0</t>
  </si>
  <si>
    <t>COUNT of ID</t>
  </si>
  <si>
    <t>262.0</t>
  </si>
  <si>
    <t>1968-06-20</t>
  </si>
  <si>
    <t>263.0</t>
  </si>
  <si>
    <t>1968-10-13</t>
  </si>
  <si>
    <t>1969-01-16</t>
  </si>
  <si>
    <t>19950.0</t>
  </si>
  <si>
    <t>1969-09-24</t>
  </si>
  <si>
    <t>266.0</t>
  </si>
  <si>
    <t>1963-10-07</t>
  </si>
  <si>
    <t>267.0</t>
  </si>
  <si>
    <t>1969-08-24</t>
  </si>
  <si>
    <t>268.0</t>
  </si>
  <si>
    <t>1936-05-16</t>
  </si>
  <si>
    <t>272.0</t>
  </si>
  <si>
    <t>269.0</t>
  </si>
  <si>
    <t>1966-03-17</t>
  </si>
  <si>
    <t>270.0</t>
  </si>
  <si>
    <t>1947-10-29</t>
  </si>
  <si>
    <t>28650.0</t>
  </si>
  <si>
    <t>271.0</t>
  </si>
  <si>
    <t>1963-08-24</t>
  </si>
  <si>
    <t>1964-06-17</t>
  </si>
  <si>
    <t>66875.0</t>
  </si>
  <si>
    <t>31980.0</t>
  </si>
  <si>
    <t>273.0</t>
  </si>
  <si>
    <t>1939-11-12</t>
  </si>
  <si>
    <t>308.0</t>
  </si>
  <si>
    <t>274.0</t>
  </si>
  <si>
    <t>1964-08-04</t>
  </si>
  <si>
    <t>83750.0</t>
  </si>
  <si>
    <t>275.0</t>
  </si>
  <si>
    <t>1963-01-14</t>
  </si>
  <si>
    <t>276.0</t>
  </si>
  <si>
    <t>1965-05-11</t>
  </si>
  <si>
    <t>56500.0</t>
  </si>
  <si>
    <t>277.0</t>
  </si>
  <si>
    <t>1965-05-20</t>
  </si>
  <si>
    <t>43000.0</t>
  </si>
  <si>
    <t>17490.0</t>
  </si>
  <si>
    <t>278.0</t>
  </si>
  <si>
    <t>1943-06-12</t>
  </si>
  <si>
    <t>279.0</t>
  </si>
  <si>
    <t>1969-04-16</t>
  </si>
  <si>
    <t>280.0</t>
  </si>
  <si>
    <t>1969-10-20</t>
  </si>
  <si>
    <t>281.0</t>
  </si>
  <si>
    <t>1945-02-18</t>
  </si>
  <si>
    <t>282.0</t>
  </si>
  <si>
    <t>1963-09-15</t>
  </si>
  <si>
    <t>283.0</t>
  </si>
  <si>
    <t>1963-02-25</t>
  </si>
  <si>
    <t>32010.0</t>
  </si>
  <si>
    <t>1961-10-10</t>
  </si>
  <si>
    <t>73500.0</t>
  </si>
  <si>
    <t>33000.0</t>
  </si>
  <si>
    <t>1930-05-28</t>
  </si>
  <si>
    <t>429.0</t>
  </si>
  <si>
    <t>286.0</t>
  </si>
  <si>
    <t>1958-03-07</t>
  </si>
  <si>
    <t>40050.0</t>
  </si>
  <si>
    <t>287.0</t>
  </si>
  <si>
    <t>1965-01-18</t>
  </si>
  <si>
    <t>40350.0</t>
  </si>
  <si>
    <t>1955-01-22</t>
  </si>
  <si>
    <t>38700.0</t>
  </si>
  <si>
    <t>289.0</t>
  </si>
  <si>
    <t>1964-10-27</t>
  </si>
  <si>
    <t>290.0</t>
  </si>
  <si>
    <t>1954-04-05</t>
  </si>
  <si>
    <t>51450.0</t>
  </si>
  <si>
    <t>36240.0</t>
  </si>
  <si>
    <t>291.0</t>
  </si>
  <si>
    <t>1934-09-23</t>
  </si>
  <si>
    <t>387.0</t>
  </si>
  <si>
    <t>292.0</t>
  </si>
  <si>
    <t>1963-05-07</t>
  </si>
  <si>
    <t>293.0</t>
  </si>
  <si>
    <t>1965-09-19</t>
  </si>
  <si>
    <t>294.0</t>
  </si>
  <si>
    <t>1968-10-10</t>
  </si>
  <si>
    <t>295.0</t>
  </si>
  <si>
    <t>1932-08-20</t>
  </si>
  <si>
    <t>476.0</t>
  </si>
  <si>
    <t>296.0</t>
  </si>
  <si>
    <t>1964-02-12</t>
  </si>
  <si>
    <t>297.0</t>
  </si>
  <si>
    <t>1942-04-16</t>
  </si>
  <si>
    <t>15300.0</t>
  </si>
  <si>
    <t>298.0</t>
  </si>
  <si>
    <t>1966-08-24</t>
  </si>
  <si>
    <t>299.0</t>
  </si>
  <si>
    <t>300.0</t>
  </si>
  <si>
    <t>1960-05-26</t>
  </si>
  <si>
    <t>301.0</t>
  </si>
  <si>
    <t>1968-08-04</t>
  </si>
  <si>
    <t>Descriptive Statistics - Employee Data</t>
  </si>
  <si>
    <t>1939-09-28</t>
  </si>
  <si>
    <t>All figures are live formulas over Clean_Data (rows 2-475). Blank cells are ignored by AVERAGE, MEDIAN, etc.</t>
  </si>
  <si>
    <t>320.0</t>
  </si>
  <si>
    <t>303.0</t>
  </si>
  <si>
    <t>1938-02-10</t>
  </si>
  <si>
    <t>Statistic</t>
  </si>
  <si>
    <t>304.0</t>
  </si>
  <si>
    <t>1945-09-28</t>
  </si>
  <si>
    <t>305.0</t>
  </si>
  <si>
    <t>1941-10-25</t>
  </si>
  <si>
    <t>317.0</t>
  </si>
  <si>
    <t>306.0</t>
  </si>
  <si>
    <t>1966-04-05</t>
  </si>
  <si>
    <t>Mean (Average)</t>
  </si>
  <si>
    <t>1945-07-24</t>
  </si>
  <si>
    <t>50000.0</t>
  </si>
  <si>
    <t>1963-02-01</t>
  </si>
  <si>
    <t>309.0</t>
  </si>
  <si>
    <t>1964-07-19</t>
  </si>
  <si>
    <t>310.0</t>
  </si>
  <si>
    <t>1964-03-23</t>
  </si>
  <si>
    <t>44875.0</t>
  </si>
  <si>
    <t>311.0</t>
  </si>
  <si>
    <t>1951-02-15</t>
  </si>
  <si>
    <t>312.0</t>
  </si>
  <si>
    <t>1963-03-12</t>
  </si>
  <si>
    <t>313.0</t>
  </si>
  <si>
    <t>1969-10-25</t>
  </si>
  <si>
    <t>1966-11-24</t>
  </si>
  <si>
    <t>1969-09-19</t>
  </si>
  <si>
    <t>12150.0</t>
  </si>
  <si>
    <t>316.0</t>
  </si>
  <si>
    <t>1960-01-14</t>
  </si>
  <si>
    <t>1969-02-27</t>
  </si>
  <si>
    <t>318.0</t>
  </si>
  <si>
    <t>1961-02-19</t>
  </si>
  <si>
    <t>48750.0</t>
  </si>
  <si>
    <t>21990.0</t>
  </si>
  <si>
    <t>319.0</t>
  </si>
  <si>
    <t>1966-03-02</t>
  </si>
  <si>
    <t>43410.0</t>
  </si>
  <si>
    <t>1936-11-10</t>
  </si>
  <si>
    <t>385.0</t>
  </si>
  <si>
    <t>321.0</t>
  </si>
  <si>
    <t>1953-10-26</t>
  </si>
  <si>
    <t>322.0</t>
  </si>
  <si>
    <t>1938-03-02</t>
  </si>
  <si>
    <t>323.0</t>
  </si>
  <si>
    <t>Median</t>
  </si>
  <si>
    <t>1966-10-14</t>
  </si>
  <si>
    <t>29160.0</t>
  </si>
  <si>
    <t>325.0</t>
  </si>
  <si>
    <t>1934-11-04</t>
  </si>
  <si>
    <t>326.0</t>
  </si>
  <si>
    <t>1958-07-24</t>
  </si>
  <si>
    <t>29550.0</t>
  </si>
  <si>
    <t>327.0</t>
  </si>
  <si>
    <t>1965-03-02</t>
  </si>
  <si>
    <t>328.0</t>
  </si>
  <si>
    <t>1952-10-25</t>
  </si>
  <si>
    <t>329.0</t>
  </si>
  <si>
    <t>1958-08-24</t>
  </si>
  <si>
    <t>62500.0</t>
  </si>
  <si>
    <t>330.0</t>
  </si>
  <si>
    <t>1959-05-09</t>
  </si>
  <si>
    <t>Mode</t>
  </si>
  <si>
    <t>331.0</t>
  </si>
  <si>
    <t>1942-02-04</t>
  </si>
  <si>
    <t>332.0</t>
  </si>
  <si>
    <t>1964-05-10</t>
  </si>
  <si>
    <t>333.0</t>
  </si>
  <si>
    <t>1965-01-26</t>
  </si>
  <si>
    <t>37050.0</t>
  </si>
  <si>
    <t>334.0</t>
  </si>
  <si>
    <t>1966-05-09</t>
  </si>
  <si>
    <t>335.0</t>
  </si>
  <si>
    <t>1930-02-26</t>
  </si>
  <si>
    <t>408.0</t>
  </si>
  <si>
    <t>336.0</t>
  </si>
  <si>
    <t>1964-01-10</t>
  </si>
  <si>
    <t>47250.0</t>
  </si>
  <si>
    <t>337.0</t>
  </si>
  <si>
    <t>1970-01-27</t>
  </si>
  <si>
    <t>26100.0</t>
  </si>
  <si>
    <t>Min</t>
  </si>
  <si>
    <t>338.0</t>
  </si>
  <si>
    <t>1938-08-12</t>
  </si>
  <si>
    <t>15900.0</t>
  </si>
  <si>
    <t>339.0</t>
  </si>
  <si>
    <t>1942-11-07</t>
  </si>
  <si>
    <t>10650.0</t>
  </si>
  <si>
    <t>340.0</t>
  </si>
  <si>
    <t>1934-05-06</t>
  </si>
  <si>
    <t>12450.0</t>
  </si>
  <si>
    <t>341.0</t>
  </si>
  <si>
    <t>1945-01-20</t>
  </si>
  <si>
    <t>59400.0</t>
  </si>
  <si>
    <t>342.0</t>
  </si>
  <si>
    <t>1948-06-01</t>
  </si>
  <si>
    <t>343.0</t>
  </si>
  <si>
    <t>1953-06-09</t>
  </si>
  <si>
    <t>103500.0</t>
  </si>
  <si>
    <t>344.0</t>
  </si>
  <si>
    <t>1963-10-13</t>
  </si>
  <si>
    <t>Max</t>
  </si>
  <si>
    <t>345.0</t>
  </si>
  <si>
    <t>1969-05-05</t>
  </si>
  <si>
    <t>346.0</t>
  </si>
  <si>
    <t>1968-08-16</t>
  </si>
  <si>
    <t>347.0</t>
  </si>
  <si>
    <t>1944-08-10</t>
  </si>
  <si>
    <t>348.0</t>
  </si>
  <si>
    <t>1962-06-11</t>
  </si>
  <si>
    <t>56750.0</t>
  </si>
  <si>
    <t>349.0</t>
  </si>
  <si>
    <t>1938-03-22</t>
  </si>
  <si>
    <t>375.0</t>
  </si>
  <si>
    <t>350.0</t>
  </si>
  <si>
    <t>1939-04-21</t>
  </si>
  <si>
    <t>37650.0</t>
  </si>
  <si>
    <t>351.0</t>
  </si>
  <si>
    <t>1966-01-27</t>
  </si>
  <si>
    <t>Standard Deviation</t>
  </si>
  <si>
    <t>352.0</t>
  </si>
  <si>
    <t>1933-11-26</t>
  </si>
  <si>
    <t>353.0</t>
  </si>
  <si>
    <t>1955-03-10</t>
  </si>
  <si>
    <t>354.0</t>
  </si>
  <si>
    <t>1946-05-08</t>
  </si>
  <si>
    <t>20550.0</t>
  </si>
  <si>
    <t>355.0</t>
  </si>
  <si>
    <t>1961-05-19</t>
  </si>
  <si>
    <t>356.0</t>
  </si>
  <si>
    <t>357.0</t>
  </si>
  <si>
    <t>1932-01-18</t>
  </si>
  <si>
    <t>17700.0</t>
  </si>
  <si>
    <t>1944-04-11</t>
  </si>
  <si>
    <t>1941-06-12</t>
  </si>
  <si>
    <t>Total Count</t>
  </si>
  <si>
    <t>360.0</t>
  </si>
  <si>
    <t>1968-08-11</t>
  </si>
  <si>
    <t>361.0</t>
  </si>
  <si>
    <t>1966-06-09</t>
  </si>
  <si>
    <t>28800.0</t>
  </si>
  <si>
    <t>362.0</t>
  </si>
  <si>
    <t>1937-04-08</t>
  </si>
  <si>
    <t>363.0</t>
  </si>
  <si>
    <t>1954-06-03</t>
  </si>
  <si>
    <t>364.0</t>
  </si>
  <si>
    <t>1947-03-26</t>
  </si>
  <si>
    <t>365.0</t>
  </si>
  <si>
    <t>1948-10-16</t>
  </si>
  <si>
    <t>366.0</t>
  </si>
  <si>
    <t>1961-03-21</t>
  </si>
  <si>
    <t>Blank Cells (not counted)</t>
  </si>
  <si>
    <t>1942-05-22</t>
  </si>
  <si>
    <t>368.0</t>
  </si>
  <si>
    <t>1943-07-20</t>
  </si>
  <si>
    <t>369.0</t>
  </si>
  <si>
    <t>1967-11-14</t>
  </si>
  <si>
    <t>370.0</t>
  </si>
  <si>
    <t>1963-01-20</t>
  </si>
  <si>
    <t>36600.0</t>
  </si>
  <si>
    <t>58125.0</t>
  </si>
  <si>
    <t>372.0</t>
  </si>
  <si>
    <t>1935-08-22</t>
  </si>
  <si>
    <t>373.0</t>
  </si>
  <si>
    <t>1949-10-29</t>
  </si>
  <si>
    <t>374.0</t>
  </si>
  <si>
    <t>Data-quality check</t>
  </si>
  <si>
    <t>1967-07-26</t>
  </si>
  <si>
    <t>Rows in Clean_Data</t>
  </si>
  <si>
    <t>1966-10-08</t>
  </si>
  <si>
    <t>14700.0</t>
  </si>
  <si>
    <t>Rows in Raw_Data</t>
  </si>
  <si>
    <t>376.0</t>
  </si>
  <si>
    <t>1964-10-09</t>
  </si>
  <si>
    <t>377.0</t>
  </si>
  <si>
    <t>1965-11-29</t>
  </si>
  <si>
    <t>378.0</t>
  </si>
  <si>
    <t>1930-09-21</t>
  </si>
  <si>
    <t>379.0</t>
  </si>
  <si>
    <t>1938-05-12</t>
  </si>
  <si>
    <t>1941-02-22</t>
  </si>
  <si>
    <t>1946-07-15</t>
  </si>
  <si>
    <t>382.0</t>
  </si>
  <si>
    <t>383.0</t>
  </si>
  <si>
    <t>1961-06-03</t>
  </si>
  <si>
    <t>78500.0</t>
  </si>
  <si>
    <t>384.0</t>
  </si>
  <si>
    <t>1955-11-11</t>
  </si>
  <si>
    <t>1930-10-01</t>
  </si>
  <si>
    <t>386.0</t>
  </si>
  <si>
    <t>1934-08-18</t>
  </si>
  <si>
    <t>1965-02-03</t>
  </si>
  <si>
    <t>388.0</t>
  </si>
  <si>
    <t>1959-01-02</t>
  </si>
  <si>
    <t>389.0</t>
  </si>
  <si>
    <t>1959-04-15</t>
  </si>
  <si>
    <t>1968-11-09</t>
  </si>
  <si>
    <t>391.0</t>
  </si>
  <si>
    <t>1969-01-12</t>
  </si>
  <si>
    <t>392.0</t>
  </si>
  <si>
    <t>1970-05-12</t>
  </si>
  <si>
    <t>21600.0</t>
  </si>
  <si>
    <t>393.0</t>
  </si>
  <si>
    <t>1969-06-24</t>
  </si>
  <si>
    <t>394.0</t>
  </si>
  <si>
    <t>1970-02-04</t>
  </si>
  <si>
    <t>395.0</t>
  </si>
  <si>
    <t>1970-03-09</t>
  </si>
  <si>
    <t>396.0</t>
  </si>
  <si>
    <t>1970-08-17</t>
  </si>
  <si>
    <t>397.0</t>
  </si>
  <si>
    <t>1970-01-17</t>
  </si>
  <si>
    <t>12300.0</t>
  </si>
  <si>
    <t>398.0</t>
  </si>
  <si>
    <t>1970-11-21</t>
  </si>
  <si>
    <t>399.0</t>
  </si>
  <si>
    <t>1970-02-06</t>
  </si>
  <si>
    <t>400.0</t>
  </si>
  <si>
    <t>1969-08-06</t>
  </si>
  <si>
    <t>23850.0</t>
  </si>
  <si>
    <t>401.0</t>
  </si>
  <si>
    <t>1970-03-14</t>
  </si>
  <si>
    <t>22800.0</t>
  </si>
  <si>
    <t>402.0</t>
  </si>
  <si>
    <t>1970-02-07</t>
  </si>
  <si>
    <t>20700.0</t>
  </si>
  <si>
    <t>403.0</t>
  </si>
  <si>
    <t>1970-04-28</t>
  </si>
  <si>
    <t>404.0</t>
  </si>
  <si>
    <t>1953-05-01</t>
  </si>
  <si>
    <t>405.0</t>
  </si>
  <si>
    <t>1944-07-12</t>
  </si>
  <si>
    <t>406.0</t>
  </si>
  <si>
    <t>1965-10-05</t>
  </si>
  <si>
    <t>407.0</t>
  </si>
  <si>
    <t>1965-09-06</t>
  </si>
  <si>
    <t>61250.0</t>
  </si>
  <si>
    <t>409.0</t>
  </si>
  <si>
    <t>1962-11-21</t>
  </si>
  <si>
    <t>410.0</t>
  </si>
  <si>
    <t>1942-01-09</t>
  </si>
  <si>
    <t>411.0</t>
  </si>
  <si>
    <t>1931-08-21</t>
  </si>
  <si>
    <t>1970-06-16</t>
  </si>
  <si>
    <t>413.0</t>
  </si>
  <si>
    <t>1966-03-13</t>
  </si>
  <si>
    <t>414.0</t>
  </si>
  <si>
    <t>1961-01-08</t>
  </si>
  <si>
    <t>415.0</t>
  </si>
  <si>
    <t>1963-05-02</t>
  </si>
  <si>
    <t>Charts</t>
  </si>
  <si>
    <t>416.0</t>
  </si>
  <si>
    <t>1965-01-16</t>
  </si>
  <si>
    <t>417.0</t>
  </si>
  <si>
    <t>1967-07-22</t>
  </si>
  <si>
    <t>418.0</t>
  </si>
  <si>
    <t>1965-06-05</t>
  </si>
  <si>
    <t>419.0</t>
  </si>
  <si>
    <t>1964-10-20</t>
  </si>
  <si>
    <t>420.0</t>
  </si>
  <si>
    <t>1957-07-16</t>
  </si>
  <si>
    <t>70000.0</t>
  </si>
  <si>
    <t>35040.0</t>
  </si>
  <si>
    <t>421.0</t>
  </si>
  <si>
    <t>1961-11-01</t>
  </si>
  <si>
    <t>422.0</t>
  </si>
  <si>
    <t>1963-07-20</t>
  </si>
  <si>
    <t>423.0</t>
  </si>
  <si>
    <t>1936-04-26</t>
  </si>
  <si>
    <t>424.0</t>
  </si>
  <si>
    <t>1966-07-06</t>
  </si>
  <si>
    <t>425.0</t>
  </si>
  <si>
    <t>1942-01-26</t>
  </si>
  <si>
    <t>426.0</t>
  </si>
  <si>
    <t>1952-10-27</t>
  </si>
  <si>
    <t>427.0</t>
  </si>
  <si>
    <t>1942-04-21</t>
  </si>
  <si>
    <t>16050.0</t>
  </si>
  <si>
    <t>428.0</t>
  </si>
  <si>
    <t>1964-02-28</t>
  </si>
  <si>
    <t>1946-08-13</t>
  </si>
  <si>
    <t>430.0</t>
  </si>
  <si>
    <t>1956-04-29</t>
  </si>
  <si>
    <t>66250.0</t>
  </si>
  <si>
    <t>431.0</t>
  </si>
  <si>
    <t>1959-01-15</t>
  </si>
  <si>
    <t>86250.0</t>
  </si>
  <si>
    <t>1964-03-12</t>
  </si>
  <si>
    <t>433.0</t>
  </si>
  <si>
    <t>1966-11-15</t>
  </si>
  <si>
    <t>33540.0</t>
  </si>
  <si>
    <t>434.0</t>
  </si>
  <si>
    <t>34950.0</t>
  </si>
  <si>
    <t>435.0</t>
  </si>
  <si>
    <t>1964-05-24</t>
  </si>
  <si>
    <t>436.0</t>
  </si>
  <si>
    <t>1965-05-27</t>
  </si>
  <si>
    <t>30270.0</t>
  </si>
  <si>
    <t>437.0</t>
  </si>
  <si>
    <t>1933-09-04</t>
  </si>
  <si>
    <t>1964-10-11</t>
  </si>
  <si>
    <t>32400.0</t>
  </si>
  <si>
    <t>439.0</t>
  </si>
  <si>
    <t>1970-06-25</t>
  </si>
  <si>
    <t>440.0</t>
  </si>
  <si>
    <t>1947-11-10</t>
  </si>
  <si>
    <t>441.0</t>
  </si>
  <si>
    <t>1949-08-02</t>
  </si>
  <si>
    <t>442.0</t>
  </si>
  <si>
    <t>1968-09-18</t>
  </si>
  <si>
    <t>29700.0</t>
  </si>
  <si>
    <t>443.0</t>
  </si>
  <si>
    <t>1929-02-10</t>
  </si>
  <si>
    <t>1961-09-16</t>
  </si>
  <si>
    <t>445.0</t>
  </si>
  <si>
    <t>1963-08-04</t>
  </si>
  <si>
    <t>446.0</t>
  </si>
  <si>
    <t>1958-08-03</t>
  </si>
  <si>
    <t>100000.0</t>
  </si>
  <si>
    <t>44100.0</t>
  </si>
  <si>
    <t>447.0</t>
  </si>
  <si>
    <t>1961-07-02</t>
  </si>
  <si>
    <t>49000.0</t>
  </si>
  <si>
    <t>448.0</t>
  </si>
  <si>
    <t>1933-06-05</t>
  </si>
  <si>
    <t>16350.0</t>
  </si>
  <si>
    <t>449.0</t>
  </si>
  <si>
    <t>1966-01-02</t>
  </si>
  <si>
    <t>450.0</t>
  </si>
  <si>
    <t>1954-07-21</t>
  </si>
  <si>
    <t>1969-07-19</t>
  </si>
  <si>
    <t>452.0</t>
  </si>
  <si>
    <t>1953-08-13</t>
  </si>
  <si>
    <t>453.0</t>
  </si>
  <si>
    <t>1930-08-07</t>
  </si>
  <si>
    <t>454.0</t>
  </si>
  <si>
    <t>1965-07-28</t>
  </si>
  <si>
    <t>90625.0</t>
  </si>
  <si>
    <t>31250.0</t>
  </si>
  <si>
    <t>455.0</t>
  </si>
  <si>
    <t>1964-01-17</t>
  </si>
  <si>
    <t>43650.0</t>
  </si>
  <si>
    <t>456.0</t>
  </si>
  <si>
    <t>1959-10-17</t>
  </si>
  <si>
    <t>42510.0</t>
  </si>
  <si>
    <t>457.0</t>
  </si>
  <si>
    <t>1968-05-27</t>
  </si>
  <si>
    <t>458.0</t>
  </si>
  <si>
    <t>1965-07-06</t>
  </si>
  <si>
    <t>459.0</t>
  </si>
  <si>
    <t>1971-02-10</t>
  </si>
  <si>
    <t>1969-08-12</t>
  </si>
  <si>
    <t>461.0</t>
  </si>
  <si>
    <t>1943-11-08</t>
  </si>
  <si>
    <t>462.0</t>
  </si>
  <si>
    <t>1963-10-18</t>
  </si>
  <si>
    <t>34410.0</t>
  </si>
  <si>
    <t>463.0</t>
  </si>
  <si>
    <t>1934-10-15</t>
  </si>
  <si>
    <t>464.0</t>
  </si>
  <si>
    <t>1962-03-20</t>
  </si>
  <si>
    <t>47550.0</t>
  </si>
  <si>
    <t>465.0</t>
  </si>
  <si>
    <t>1962-07-20</t>
  </si>
  <si>
    <t>466.0</t>
  </si>
  <si>
    <t>1948-06-15</t>
  </si>
  <si>
    <t>467.0</t>
  </si>
  <si>
    <t>1967-08-18</t>
  </si>
  <si>
    <t>32850.0</t>
  </si>
  <si>
    <t>468.0</t>
  </si>
  <si>
    <t>1965-11-28</t>
  </si>
  <si>
    <t>55750.0</t>
  </si>
  <si>
    <t>469.0</t>
  </si>
  <si>
    <t>1964-06-01</t>
  </si>
  <si>
    <t>470.0</t>
  </si>
  <si>
    <t>1964-01-22</t>
  </si>
  <si>
    <t>471.0</t>
  </si>
  <si>
    <t>1966-08-03</t>
  </si>
  <si>
    <t>472.0</t>
  </si>
  <si>
    <t>1966-02-21</t>
  </si>
  <si>
    <t>39150.0</t>
  </si>
  <si>
    <t>473.0</t>
  </si>
  <si>
    <t>1937-11-25</t>
  </si>
  <si>
    <t>474.0</t>
  </si>
  <si>
    <t>1968-11-05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</si>
</sst>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\$#,##0"/>
    <numFmt numFmtId="166" formatCode="0.0%"/>
    <numFmt numFmtId="167" formatCode="0.0"/>
  </numFmts>
  <fonts count="7">
    <font>
      <sz val="11.0"/>
      <color theme="1"/>
      <name val="Calibri"/>
      <scheme val="minor"/>
    </font>
    <font>
      <b/>
      <sz val="14.0"/>
      <color theme="1"/>
      <name val="Arial"/>
    </font>
    <font>
      <b/>
      <sz val="11.0"/>
      <color rgb="FFFFFFFF"/>
      <name val="Arial"/>
    </font>
    <font>
      <i/>
      <sz val="11.0"/>
      <color rgb="FF595959"/>
      <name val="Arial"/>
    </font>
    <font>
      <b/>
      <sz val="11.0"/>
      <color theme="1"/>
      <name val="Arial"/>
    </font>
    <font>
      <sz val="11.0"/>
      <color theme="1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shrinkToFit="0" vertical="top" wrapText="1"/>
    </xf>
    <xf borderId="0" fillId="0" fontId="5" numFmtId="1" xfId="0" applyAlignment="1" applyFont="1" applyNumberFormat="1">
      <alignment shrinkToFit="0" vertical="bottom" wrapText="0"/>
    </xf>
    <xf borderId="1" fillId="0" fontId="5" numFmtId="0" xfId="0" applyAlignment="1" applyBorder="1" applyFont="1">
      <alignment readingOrder="0" shrinkToFit="0" vertical="top" wrapText="1"/>
    </xf>
    <xf borderId="0" fillId="0" fontId="5" numFmtId="164" xfId="0" applyAlignment="1" applyFont="1" applyNumberFormat="1">
      <alignment shrinkToFit="0" vertical="bottom" wrapText="0"/>
    </xf>
    <xf borderId="1" fillId="0" fontId="5" numFmtId="1" xfId="0" applyAlignment="1" applyBorder="1" applyFont="1" applyNumberFormat="1">
      <alignment shrinkToFit="0" vertical="bottom" wrapText="0"/>
    </xf>
    <xf borderId="0" fillId="0" fontId="5" numFmtId="165" xfId="0" applyAlignment="1" applyFont="1" applyNumberFormat="1">
      <alignment shrinkToFit="0" vertical="bottom" wrapText="0"/>
    </xf>
    <xf borderId="1" fillId="0" fontId="5" numFmtId="165" xfId="0" applyAlignment="1" applyBorder="1" applyFont="1" applyNumberFormat="1">
      <alignment shrinkToFit="0" vertical="bottom" wrapText="0"/>
    </xf>
    <xf borderId="1" fillId="0" fontId="5" numFmtId="166" xfId="0" applyAlignment="1" applyBorder="1" applyFont="1" applyNumberForma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1" xfId="0" applyAlignment="1" applyBorder="1" applyFont="1" applyNumberFormat="1">
      <alignment shrinkToFit="0" vertical="bottom" wrapText="0"/>
    </xf>
    <xf borderId="1" fillId="0" fontId="4" numFmtId="165" xfId="0" applyAlignment="1" applyBorder="1" applyFont="1" applyNumberFormat="1">
      <alignment shrinkToFit="0" vertical="bottom" wrapText="0"/>
    </xf>
    <xf borderId="1" fillId="0" fontId="4" numFmtId="166" xfId="0" applyAlignment="1" applyBorder="1" applyFont="1" applyNumberFormat="1">
      <alignment shrinkToFit="0" vertical="bottom" wrapText="0"/>
    </xf>
    <xf borderId="0" fillId="0" fontId="6" numFmtId="0" xfId="0" applyFont="1"/>
    <xf borderId="0" fillId="0" fontId="6" numFmtId="165" xfId="0" applyFont="1" applyNumberFormat="1"/>
    <xf borderId="1" fillId="0" fontId="5" numFmtId="167" xfId="0" applyAlignment="1" applyBorder="1" applyFont="1" applyNumberFormat="1">
      <alignment shrinkToFit="0" vertical="bottom" wrapText="0"/>
    </xf>
    <xf borderId="2" fillId="3" fontId="5" numFmtId="164" xfId="0" applyAlignment="1" applyBorder="1" applyFill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Salary by Job Category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1'!$A$2:$A$4</c:f>
            </c:strRef>
          </c:cat>
          <c:val>
            <c:numRef>
              <c:f>'Pivot Table 1'!$B$2:$B$4</c:f>
              <c:numCache/>
            </c:numRef>
          </c:val>
        </c:ser>
        <c:axId val="1417971285"/>
        <c:axId val="2142848766"/>
      </c:barChart>
      <c:catAx>
        <c:axId val="14179712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Job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2848766"/>
      </c:catAx>
      <c:valAx>
        <c:axId val="21428487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Average Salary ($)</a:t>
                </a:r>
              </a:p>
            </c:rich>
          </c:tx>
          <c:overlay val="0"/>
        </c:title>
        <c:numFmt formatCode="&quot;$&quot;#,##0.00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79712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Gender Ratio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2'!$B$1</c:f>
            </c:strRef>
          </c:tx>
          <c:dPt>
            <c:idx val="0"/>
            <c:spPr>
              <a:solidFill>
                <a:srgbClr val="00FFFF"/>
              </a:solidFill>
            </c:spPr>
          </c:dPt>
          <c:dPt>
            <c:idx val="1"/>
            <c:spPr>
              <a:solidFill>
                <a:srgbClr val="FF990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'Pivot Table 2'!$A$2:$A$3</c:f>
            </c:strRef>
          </c:cat>
          <c:val>
            <c:numRef>
              <c:f>'Pivot Table 2'!$B$2:$B$3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Average Salary by Job Category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Avg Salary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Pivots!$A$6:$A$8</c:f>
            </c:strRef>
          </c:cat>
          <c:val>
            <c:numRef>
              <c:f>Pivots!$C$6:$C$8</c:f>
              <c:numCache/>
            </c:numRef>
          </c:val>
        </c:ser>
        <c:axId val="1458175167"/>
        <c:axId val="1446045392"/>
      </c:barChart>
      <c:catAx>
        <c:axId val="1458175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Job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46045392"/>
      </c:catAx>
      <c:valAx>
        <c:axId val="14460453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Average Salary ($)</a:t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58175167"/>
      </c:valAx>
    </c:plotArea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Headcount by Job Category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Headcount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Pivots!$A$6:$A$8</c:f>
            </c:strRef>
          </c:cat>
          <c:val>
            <c:numRef>
              <c:f>Pivots!$B$6:$B$8</c:f>
              <c:numCache/>
            </c:numRef>
          </c:val>
        </c:ser>
        <c:axId val="2096991455"/>
        <c:axId val="1965020436"/>
      </c:barChart>
      <c:catAx>
        <c:axId val="20969914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Job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65020436"/>
      </c:catAx>
      <c:valAx>
        <c:axId val="19650204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Employees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96991455"/>
      </c:valAx>
    </c:plotArea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Gender Ratio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Pivots!$B$13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Pivots!$A$14:$A$15</c:f>
            </c:strRef>
          </c:cat>
          <c:val>
            <c:numRef>
              <c:f>Pivots!$B$14:$B$15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Minority Status Breakdown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Pivots!$B$20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Pivots!$A$21:$A$22</c:f>
            </c:strRef>
          </c:cat>
          <c:val>
            <c:numRef>
              <c:f>Pivots!$B$21:$B$22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Average Salary by Job Category and Gender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Female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Pivots!$B$27:$D$27</c:f>
            </c:strRef>
          </c:cat>
          <c:val>
            <c:numRef>
              <c:f>Pivots!$B$28:$D$28</c:f>
              <c:numCache/>
            </c:numRef>
          </c:val>
        </c:ser>
        <c:ser>
          <c:idx val="1"/>
          <c:order val="1"/>
          <c:tx>
            <c:v>Male</c:v>
          </c:tx>
          <c:spPr>
            <a:solidFill>
              <a:srgbClr val="C0504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Pivots!$B$27:$D$27</c:f>
            </c:strRef>
          </c:cat>
          <c:val>
            <c:numRef>
              <c:f>Pivots!$B$29:$D$29</c:f>
              <c:numCache/>
            </c:numRef>
          </c:val>
        </c:ser>
        <c:axId val="1969596880"/>
        <c:axId val="1637328340"/>
      </c:barChart>
      <c:catAx>
        <c:axId val="1969596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Job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37328340"/>
      </c:catAx>
      <c:valAx>
        <c:axId val="16373283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Average Salary ($)</a:t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69596880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Relationship Id="rId5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361950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419100</xdr:colOff>
      <xdr:row>0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152400</xdr:rowOff>
    </xdr:from>
    <xdr:ext cx="5476875" cy="32099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1</xdr:row>
      <xdr:rowOff>152400</xdr:rowOff>
    </xdr:from>
    <xdr:ext cx="5476875" cy="32099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19</xdr:row>
      <xdr:rowOff>152400</xdr:rowOff>
    </xdr:from>
    <xdr:ext cx="5476875" cy="32099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0</xdr:colOff>
      <xdr:row>19</xdr:row>
      <xdr:rowOff>152400</xdr:rowOff>
    </xdr:from>
    <xdr:ext cx="5476875" cy="320992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37</xdr:row>
      <xdr:rowOff>152400</xdr:rowOff>
    </xdr:from>
    <xdr:ext cx="10963275" cy="340042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475" sheet="Clean_Data"/>
  </cacheSource>
  <cacheFields>
    <cacheField name="ID" numFmtId="1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</sharedItems>
    </cacheField>
    <cacheField name="Gender" numFmtId="0">
      <sharedItems>
        <s v="Male"/>
        <s v="Female"/>
      </sharedItems>
    </cacheField>
    <cacheField name="Birth Date" numFmtId="164">
      <sharedItems containsDate="1" containsString="0" containsBlank="1">
        <d v="1952-02-03T00:00:00Z"/>
        <d v="1958-05-23T00:00:00Z"/>
        <d v="1929-07-26T00:00:00Z"/>
        <d v="1947-04-15T00:00:00Z"/>
        <d v="1955-02-09T00:00:00Z"/>
        <d v="1958-08-22T00:00:00Z"/>
        <d v="1956-04-26T00:00:00Z"/>
        <d v="1966-05-06T00:00:00Z"/>
        <d v="1946-01-23T00:00:00Z"/>
        <d v="1946-02-13T00:00:00Z"/>
        <d v="1950-02-07T00:00:00Z"/>
        <d v="1966-01-11T00:00:00Z"/>
        <d v="1960-07-17T00:00:00Z"/>
        <d v="1949-02-26T00:00:00Z"/>
        <d v="1962-08-29T00:00:00Z"/>
        <d v="1964-11-17T00:00:00Z"/>
        <d v="1962-07-18T00:00:00Z"/>
        <d v="1956-03-20T00:00:00Z"/>
        <d v="1962-08-19T00:00:00Z"/>
        <d v="1940-01-23T00:00:00Z"/>
        <d v="1963-02-19T00:00:00Z"/>
        <d v="1940-09-24T00:00:00Z"/>
        <d v="1965-03-15T00:00:00Z"/>
        <d v="1933-03-27T00:00:00Z"/>
        <d v="1942-07-01T00:00:00Z"/>
        <d v="1966-11-08T00:00:00Z"/>
        <d v="1954-03-19T00:00:00Z"/>
        <d v="1963-04-11T00:00:00Z"/>
        <d v="1944-01-28T00:00:00Z"/>
        <d v="1961-09-17T00:00:00Z"/>
        <d v="1964-02-24T00:00:00Z"/>
        <d v="1954-01-28T00:00:00Z"/>
        <d v="1961-03-18T00:00:00Z"/>
        <d v="1949-02-02T00:00:00Z"/>
        <d v="1961-08-22T00:00:00Z"/>
        <d v="1963-08-07T00:00:00Z"/>
        <d v="1954-10-09T00:00:00Z"/>
        <d v="1962-04-27T00:00:00Z"/>
        <d v="1960-06-22T00:00:00Z"/>
        <d v="1933-08-28T00:00:00Z"/>
        <d v="1960-09-23T00:00:00Z"/>
        <d v="1964-01-18T00:00:00Z"/>
        <d v="1963-06-15T00:00:00Z"/>
        <d v="1938-08-02T00:00:00Z"/>
        <d v="1940-11-18T00:00:00Z"/>
        <d v="1938-04-28T00:00:00Z"/>
        <d v="1947-06-07T00:00:00Z"/>
        <d v="1958-09-16T00:00:00Z"/>
        <d v="1960-02-09T00:00:00Z"/>
        <d v="1962-07-08T00:00:00Z"/>
        <d v="1963-11-12T00:00:00Z"/>
        <d v="1954-04-21T00:00:00Z"/>
        <d v="1931-06-04T00:00:00Z"/>
        <d v="1960-06-25T00:00:00Z"/>
        <d v="1962-04-16T00:00:00Z"/>
        <d v="1963-04-15T00:00:00Z"/>
        <d v="1964-11-14T00:00:00Z"/>
        <d v="1961-05-07T00:00:00Z"/>
        <d v="1959-02-16T00:00:00Z"/>
        <d v="1964-04-28T00:00:00Z"/>
        <d v="1961-08-20T00:00:00Z"/>
        <d v="1963-09-28T00:00:00Z"/>
        <d v="1964-03-28T00:00:00Z"/>
        <d v="1962-02-16T00:00:00Z"/>
        <d v="1964-05-28T00:00:00Z"/>
        <d v="1963-05-05T00:00:00Z"/>
        <d v="1960-06-23T00:00:00Z"/>
        <d v="1962-02-08T00:00:00Z"/>
        <d v="1948-08-26T00:00:00Z"/>
        <d v="1964-01-07T00:00:00Z"/>
        <d v="1968-02-09T00:00:00Z"/>
        <d v="1933-04-28T00:00:00Z"/>
        <d v="1965-08-12T00:00:00Z"/>
        <d v="1967-09-03T00:00:00Z"/>
        <d v="1968-09-09T00:00:00Z"/>
        <d v="1968-08-20T00:00:00Z"/>
        <d v="1962-01-23T00:00:00Z"/>
        <d v="1961-05-25T00:00:00Z"/>
        <d v="1968-03-12T00:00:00Z"/>
        <d v="1947-08-28T00:00:00Z"/>
        <d v="1967-10-12T00:00:00Z"/>
        <d v="1967-03-12T00:00:00Z"/>
        <d v="1962-04-09T00:00:00Z"/>
        <d v="1961-08-25T00:00:00Z"/>
        <d v="1959-10-20T00:00:00Z"/>
        <d v="1962-02-10T00:00:00Z"/>
        <d v="1961-06-24T00:00:00Z"/>
        <d v="1938-02-27T00:00:00Z"/>
        <d v="1967-11-04T00:00:00Z"/>
        <d v="1968-06-25T00:00:00Z"/>
        <d v="1968-03-05T00:00:00Z"/>
        <d v="1950-08-04T00:00:00Z"/>
        <d v="1968-08-08T00:00:00Z"/>
        <d v="1933-10-02T00:00:00Z"/>
        <d v="1953-01-18T00:00:00Z"/>
        <d v="1956-05-17T00:00:00Z"/>
        <d v="1968-07-07T00:00:00Z"/>
        <d v="1963-10-25T00:00:00Z"/>
        <d v="1960-03-14T00:00:00Z"/>
        <d v="1963-03-28T00:00:00Z"/>
        <d v="1959-03-17T00:00:00Z"/>
        <d v="1962-11-05T00:00:00Z"/>
        <d v="1966-03-07T00:00:00Z"/>
        <d v="1962-08-04T00:00:00Z"/>
        <d v="1960-08-16T00:00:00Z"/>
        <d v="1930-07-16T00:00:00Z"/>
        <d v="1963-11-10T00:00:00Z"/>
        <d v="1952-10-29T00:00:00Z"/>
        <d v="1940-11-27T00:00:00Z"/>
        <d v="1948-06-21T00:00:00Z"/>
        <d v="1959-10-06T00:00:00Z"/>
        <d v="1961-05-12T00:00:00Z"/>
        <d v="1962-06-09T00:00:00Z"/>
        <d v="1932-01-14T00:00:00Z"/>
        <d v="1964-03-04T00:00:00Z"/>
        <d v="1963-07-23T00:00:00Z"/>
        <d v="1964-11-12T00:00:00Z"/>
        <d v="1936-08-06T00:00:00Z"/>
        <d v="1965-09-26T00:00:00Z"/>
        <d v="1949-04-24T00:00:00Z"/>
        <d v="1963-05-29T00:00:00Z"/>
        <d v="1956-08-06T00:00:00Z"/>
        <d v="1951-01-21T00:00:00Z"/>
        <d v="1950-09-01T00:00:00Z"/>
        <d v="1946-07-25T00:00:00Z"/>
        <d v="1959-07-18T00:00:00Z"/>
        <d v="1958-09-06T00:00:00Z"/>
        <d v="1953-05-17T00:00:00Z"/>
        <d v="1959-09-12T00:00:00Z"/>
        <d v="1941-11-10T00:00:00Z"/>
        <d v="1968-05-22T00:00:00Z"/>
        <d v="1939-08-25T00:00:00Z"/>
        <d v="1937-07-12T00:00:00Z"/>
        <d v="1947-01-09T00:00:00Z"/>
        <d v="1931-06-18T00:00:00Z"/>
        <d v="1965-04-05T00:00:00Z"/>
        <d v="1966-06-14T00:00:00Z"/>
        <d v="1966-11-13T00:00:00Z"/>
        <d v="1939-08-24T00:00:00Z"/>
        <d v="1931-08-28T00:00:00Z"/>
        <d v="1964-01-15T00:00:00Z"/>
        <d v="1951-01-02T00:00:00Z"/>
        <d v="1936-09-11T00:00:00Z"/>
        <d v="1959-10-05T00:00:00Z"/>
        <d v="1962-06-28T00:00:00Z"/>
        <d v="1954-03-05T00:00:00Z"/>
        <d v="1954-08-16T00:00:00Z"/>
        <d v="1929-05-03T00:00:00Z"/>
        <d v="1967-05-13T00:00:00Z"/>
        <d v="1940-06-07T00:00:00Z"/>
        <d v="1963-03-06T00:00:00Z"/>
        <d v="1963-01-12T00:00:00Z"/>
        <d v="1967-07-02T00:00:00Z"/>
        <d v="1964-09-20T00:00:00Z"/>
        <d v="1951-01-13T00:00:00Z"/>
        <d v="1951-08-27T00:00:00Z"/>
        <d v="1963-02-11T00:00:00Z"/>
        <d v="1965-11-10T00:00:00Z"/>
        <d v="1965-08-13T00:00:00Z"/>
        <d v="1966-04-29T00:00:00Z"/>
        <d v="1942-07-12T00:00:00Z"/>
        <d v="1932-08-26T00:00:00Z"/>
        <d v="1962-04-23T00:00:00Z"/>
        <d v="1965-05-23T00:00:00Z"/>
        <d v="1964-06-13T00:00:00Z"/>
        <d v="1930-01-21T00:00:00Z"/>
        <d v="1953-06-13T00:00:00Z"/>
        <d v="1950-01-15T00:00:00Z"/>
        <d v="1935-01-07T00:00:00Z"/>
        <d v="1938-01-08T00:00:00Z"/>
        <d v="1962-10-05T00:00:00Z"/>
        <d v="1962-08-11T00:00:00Z"/>
        <d v="1938-01-17T00:00:00Z"/>
        <d v="1965-01-19T00:00:00Z"/>
        <d v="1960-01-23T00:00:00Z"/>
        <d v="1939-01-04T00:00:00Z"/>
        <d v="1943-03-08T00:00:00Z"/>
        <d v="1960-03-01T00:00:00Z"/>
        <d v="1964-11-05T00:00:00Z"/>
        <d v="1930-08-28T00:00:00Z"/>
        <d v="1964-07-06T00:00:00Z"/>
        <d v="1963-07-29T00:00:00Z"/>
        <d v="1934-02-04T00:00:00Z"/>
        <d v="1950-03-28T00:00:00Z"/>
        <d v="1932-11-15T00:00:00Z"/>
        <d v="1931-10-23T00:00:00Z"/>
        <d v="1949-10-09T00:00:00Z"/>
        <d v="1966-07-22T00:00:00Z"/>
        <d v="1938-04-10T00:00:00Z"/>
        <d v="1955-11-06T00:00:00Z"/>
        <d v="1946-03-03T00:00:00Z"/>
        <d v="1962-10-01T00:00:00Z"/>
        <d v="1952-03-17T00:00:00Z"/>
        <d v="1958-02-02T00:00:00Z"/>
        <d v="1963-02-13T00:00:00Z"/>
        <d v="1955-05-08T00:00:00Z"/>
        <d v="1963-03-17T00:00:00Z"/>
        <d v="1964-03-17T00:00:00Z"/>
        <d v="1960-10-21T00:00:00Z"/>
        <d v="1944-06-22T00:00:00Z"/>
        <d v="1943-05-22T00:00:00Z"/>
        <d v="1959-02-15T00:00:00Z"/>
        <d v="1968-11-28T00:00:00Z"/>
        <d v="1934-01-14T00:00:00Z"/>
        <d v="1949-05-04T00:00:00Z"/>
        <d v="1950-11-08T00:00:00Z"/>
        <d v="1965-05-14T00:00:00Z"/>
        <d v="1945-10-20T00:00:00Z"/>
        <d v="1968-09-13T00:00:00Z"/>
        <d v="1968-09-15T00:00:00Z"/>
        <d v="1964-05-16T00:00:00Z"/>
        <d v="1949-03-15T00:00:00Z"/>
        <d v="1964-03-21T00:00:00Z"/>
        <d v="1963-02-02T00:00:00Z"/>
        <d v="1963-08-17T00:00:00Z"/>
        <d v="1947-05-22T00:00:00Z"/>
        <d v="1935-09-15T00:00:00Z"/>
        <d v="1942-03-14T00:00:00Z"/>
        <d v="1934-11-20T00:00:00Z"/>
        <d v="1967-10-13T00:00:00Z"/>
        <d v="1964-06-21T00:00:00Z"/>
        <d v="1965-07-17T00:00:00Z"/>
        <d v="1963-09-21T00:00:00Z"/>
        <d v="1940-08-21T00:00:00Z"/>
        <d v="1965-01-09T00:00:00Z"/>
        <d v="1963-09-13T00:00:00Z"/>
        <d v="1963-07-21T00:00:00Z"/>
        <d v="1960-11-12T00:00:00Z"/>
        <d v="1962-09-11T00:00:00Z"/>
        <d v="1969-05-02T00:00:00Z"/>
        <d v="1969-06-04T00:00:00Z"/>
        <d v="1969-06-15T00:00:00Z"/>
        <d v="1969-09-14T00:00:00Z"/>
        <d v="1961-06-15T00:00:00Z"/>
        <d v="1936-08-27T00:00:00Z"/>
        <d v="1967-11-03T00:00:00Z"/>
        <d v="1969-02-10T00:00:00Z"/>
        <d v="1969-09-15T00:00:00Z"/>
        <d v="1969-03-16T00:00:00Z"/>
        <d v="1968-01-14T00:00:00Z"/>
        <d v="1968-05-13T00:00:00Z"/>
        <d v="1969-04-09T00:00:00Z"/>
        <d v="1969-05-09T00:00:00Z"/>
        <d v="1966-10-10T00:00:00Z"/>
        <d v="1969-01-19T00:00:00Z"/>
        <d v="1969-09-18T00:00:00Z"/>
        <d v="1942-02-21T00:00:00Z"/>
        <d v="1964-02-08T00:00:00Z"/>
        <d v="1932-08-15T00:00:00Z"/>
        <d v="1948-01-03T00:00:00Z"/>
        <d v="1951-09-24T00:00:00Z"/>
        <d v="1969-03-09T00:00:00Z"/>
        <d v="1969-03-15T00:00:00Z"/>
        <d v="1969-02-20T00:00:00Z"/>
        <d v="1969-03-27T00:00:00Z"/>
        <d v="1968-06-20T00:00:00Z"/>
        <d v="1968-10-13T00:00:00Z"/>
        <d v="1969-01-16T00:00:00Z"/>
        <d v="1969-09-24T00:00:00Z"/>
        <d v="1963-10-07T00:00:00Z"/>
        <d v="1969-08-24T00:00:00Z"/>
        <d v="1936-05-16T00:00:00Z"/>
        <d v="1966-03-17T00:00:00Z"/>
        <d v="1947-10-29T00:00:00Z"/>
        <d v="1963-08-24T00:00:00Z"/>
        <d v="1964-06-17T00:00:00Z"/>
        <d v="1939-11-12T00:00:00Z"/>
        <d v="1964-08-04T00:00:00Z"/>
        <d v="1963-01-14T00:00:00Z"/>
        <d v="1965-05-11T00:00:00Z"/>
        <d v="1965-05-20T00:00:00Z"/>
        <d v="1943-06-12T00:00:00Z"/>
        <d v="1969-04-16T00:00:00Z"/>
        <d v="1969-10-20T00:00:00Z"/>
        <d v="1945-02-18T00:00:00Z"/>
        <d v="1963-09-15T00:00:00Z"/>
        <d v="1963-02-25T00:00:00Z"/>
        <d v="1961-10-10T00:00:00Z"/>
        <d v="1930-05-28T00:00:00Z"/>
        <d v="1958-03-07T00:00:00Z"/>
        <d v="1965-01-18T00:00:00Z"/>
        <d v="1955-01-22T00:00:00Z"/>
        <d v="1964-10-27T00:00:00Z"/>
        <d v="1954-04-05T00:00:00Z"/>
        <d v="1934-09-23T00:00:00Z"/>
        <d v="1963-05-07T00:00:00Z"/>
        <d v="1965-09-19T00:00:00Z"/>
        <d v="1968-10-10T00:00:00Z"/>
        <d v="1932-08-20T00:00:00Z"/>
        <d v="1964-02-12T00:00:00Z"/>
        <d v="1942-04-16T00:00:00Z"/>
        <d v="1966-08-24T00:00:00Z"/>
        <d v="1960-05-26T00:00:00Z"/>
        <d v="1968-08-04T00:00:00Z"/>
        <d v="1939-09-28T00:00:00Z"/>
        <d v="1938-02-10T00:00:00Z"/>
        <d v="1945-09-28T00:00:00Z"/>
        <d v="1941-10-25T00:00:00Z"/>
        <d v="1966-04-05T00:00:00Z"/>
        <d v="1945-07-24T00:00:00Z"/>
        <d v="1963-02-01T00:00:00Z"/>
        <d v="1964-07-19T00:00:00Z"/>
        <d v="1964-03-23T00:00:00Z"/>
        <d v="1951-02-15T00:00:00Z"/>
        <d v="1963-03-12T00:00:00Z"/>
        <d v="1969-10-25T00:00:00Z"/>
        <d v="1966-11-24T00:00:00Z"/>
        <d v="1969-09-19T00:00:00Z"/>
        <d v="1960-01-14T00:00:00Z"/>
        <d v="1969-02-27T00:00:00Z"/>
        <d v="1961-02-19T00:00:00Z"/>
        <d v="1966-03-02T00:00:00Z"/>
        <d v="1936-11-10T00:00:00Z"/>
        <d v="1953-10-26T00:00:00Z"/>
        <d v="1938-03-02T00:00:00Z"/>
        <d v="1966-10-14T00:00:00Z"/>
        <d v="1934-11-04T00:00:00Z"/>
        <d v="1958-07-24T00:00:00Z"/>
        <d v="1965-03-02T00:00:00Z"/>
        <d v="1952-10-25T00:00:00Z"/>
        <d v="1958-08-24T00:00:00Z"/>
        <d v="1959-05-09T00:00:00Z"/>
        <d v="1942-02-04T00:00:00Z"/>
        <d v="1964-05-10T00:00:00Z"/>
        <d v="1965-01-26T00:00:00Z"/>
        <d v="1966-05-09T00:00:00Z"/>
        <d v="1930-02-26T00:00:00Z"/>
        <d v="1964-01-10T00:00:00Z"/>
        <d v="1970-01-27T00:00:00Z"/>
        <d v="1938-08-12T00:00:00Z"/>
        <d v="1942-11-07T00:00:00Z"/>
        <d v="1934-05-06T00:00:00Z"/>
        <d v="1945-01-20T00:00:00Z"/>
        <d v="1948-06-01T00:00:00Z"/>
        <d v="1953-06-09T00:00:00Z"/>
        <d v="1963-10-13T00:00:00Z"/>
        <d v="1969-05-05T00:00:00Z"/>
        <d v="1968-08-16T00:00:00Z"/>
        <d v="1944-08-10T00:00:00Z"/>
        <d v="1962-06-11T00:00:00Z"/>
        <d v="1938-03-22T00:00:00Z"/>
        <d v="1939-04-21T00:00:00Z"/>
        <d v="1966-01-27T00:00:00Z"/>
        <d v="1933-11-26T00:00:00Z"/>
        <d v="1955-03-10T00:00:00Z"/>
        <d v="1946-05-08T00:00:00Z"/>
        <d v="1961-05-19T00:00:00Z"/>
        <d v="1932-01-18T00:00:00Z"/>
        <d v="1944-04-11T00:00:00Z"/>
        <d v="1941-06-12T00:00:00Z"/>
        <d v="1968-08-11T00:00:00Z"/>
        <d v="1966-06-09T00:00:00Z"/>
        <d v="1937-04-08T00:00:00Z"/>
        <d v="1954-06-03T00:00:00Z"/>
        <d v="1947-03-26T00:00:00Z"/>
        <d v="1948-10-16T00:00:00Z"/>
        <d v="1961-03-21T00:00:00Z"/>
        <d v="1942-05-22T00:00:00Z"/>
        <d v="1943-07-20T00:00:00Z"/>
        <d v="1967-11-14T00:00:00Z"/>
        <d v="1963-01-20T00:00:00Z"/>
        <d v="1935-08-22T00:00:00Z"/>
        <d v="1949-10-29T00:00:00Z"/>
        <d v="1967-07-26T00:00:00Z"/>
        <d v="1966-10-08T00:00:00Z"/>
        <d v="1964-10-09T00:00:00Z"/>
        <d v="1965-11-29T00:00:00Z"/>
        <d v="1930-09-21T00:00:00Z"/>
        <d v="1938-05-12T00:00:00Z"/>
        <d v="1941-02-22T00:00:00Z"/>
        <d v="1946-07-15T00:00:00Z"/>
        <d v="1961-06-03T00:00:00Z"/>
        <d v="1955-11-11T00:00:00Z"/>
        <d v="1930-10-01T00:00:00Z"/>
        <d v="1934-08-18T00:00:00Z"/>
        <d v="1965-02-03T00:00:00Z"/>
        <d v="1959-01-02T00:00:00Z"/>
        <d v="1959-04-15T00:00:00Z"/>
        <d v="1968-11-09T00:00:00Z"/>
        <d v="1969-01-12T00:00:00Z"/>
        <d v="1970-05-12T00:00:00Z"/>
        <d v="1969-06-24T00:00:00Z"/>
        <d v="1970-02-04T00:00:00Z"/>
        <d v="1970-03-09T00:00:00Z"/>
        <d v="1970-08-17T00:00:00Z"/>
        <d v="1970-01-17T00:00:00Z"/>
        <d v="1970-11-21T00:00:00Z"/>
        <d v="1970-02-06T00:00:00Z"/>
        <d v="1969-08-06T00:00:00Z"/>
        <d v="1970-03-14T00:00:00Z"/>
        <d v="1970-02-07T00:00:00Z"/>
        <d v="1970-04-28T00:00:00Z"/>
        <d v="1953-05-01T00:00:00Z"/>
        <d v="1944-07-12T00:00:00Z"/>
        <d v="1965-10-05T00:00:00Z"/>
        <d v="1965-09-06T00:00:00Z"/>
        <d v="1962-11-21T00:00:00Z"/>
        <d v="1942-01-09T00:00:00Z"/>
        <d v="1931-08-21T00:00:00Z"/>
        <d v="1970-06-16T00:00:00Z"/>
        <d v="1966-03-13T00:00:00Z"/>
        <d v="1961-01-08T00:00:00Z"/>
        <d v="1963-05-02T00:00:00Z"/>
        <d v="1965-01-16T00:00:00Z"/>
        <d v="1967-07-22T00:00:00Z"/>
        <d v="1965-06-05T00:00:00Z"/>
        <d v="1964-10-20T00:00:00Z"/>
        <d v="1957-07-16T00:00:00Z"/>
        <d v="1961-11-01T00:00:00Z"/>
        <d v="1963-07-20T00:00:00Z"/>
        <d v="1936-04-26T00:00:00Z"/>
        <d v="1966-07-06T00:00:00Z"/>
        <d v="1942-01-26T00:00:00Z"/>
        <d v="1952-10-27T00:00:00Z"/>
        <d v="1942-04-21T00:00:00Z"/>
        <d v="1964-02-28T00:00:00Z"/>
        <d v="1946-08-13T00:00:00Z"/>
        <d v="1956-04-29T00:00:00Z"/>
        <d v="1959-01-15T00:00:00Z"/>
        <d v="1964-03-12T00:00:00Z"/>
        <d v="1966-11-15T00:00:00Z"/>
        <m/>
        <d v="1964-05-24T00:00:00Z"/>
        <d v="1965-05-27T00:00:00Z"/>
        <d v="1933-09-04T00:00:00Z"/>
        <d v="1964-10-11T00:00:00Z"/>
        <d v="1970-06-25T00:00:00Z"/>
        <d v="1947-11-10T00:00:00Z"/>
        <d v="1949-08-02T00:00:00Z"/>
        <d v="1968-09-18T00:00:00Z"/>
        <d v="1929-02-10T00:00:00Z"/>
        <d v="1961-09-16T00:00:00Z"/>
        <d v="1963-08-04T00:00:00Z"/>
        <d v="1958-08-03T00:00:00Z"/>
        <d v="1961-07-02T00:00:00Z"/>
        <d v="1933-06-05T00:00:00Z"/>
        <d v="1966-01-02T00:00:00Z"/>
        <d v="1954-07-21T00:00:00Z"/>
        <d v="1969-07-19T00:00:00Z"/>
        <d v="1953-08-13T00:00:00Z"/>
        <d v="1930-08-07T00:00:00Z"/>
        <d v="1965-07-28T00:00:00Z"/>
        <d v="1964-01-17T00:00:00Z"/>
        <d v="1959-10-17T00:00:00Z"/>
        <d v="1968-05-27T00:00:00Z"/>
        <d v="1965-07-06T00:00:00Z"/>
        <d v="1971-02-10T00:00:00Z"/>
        <d v="1969-08-12T00:00:00Z"/>
        <d v="1943-11-08T00:00:00Z"/>
        <d v="1963-10-18T00:00:00Z"/>
        <d v="1934-10-15T00:00:00Z"/>
        <d v="1962-03-20T00:00:00Z"/>
        <d v="1962-07-20T00:00:00Z"/>
        <d v="1948-06-15T00:00:00Z"/>
        <d v="1967-08-18T00:00:00Z"/>
        <d v="1965-11-28T00:00:00Z"/>
        <d v="1964-06-01T00:00:00Z"/>
        <d v="1964-01-22T00:00:00Z"/>
        <d v="1966-08-03T00:00:00Z"/>
        <d v="1966-02-21T00:00:00Z"/>
        <d v="1937-11-25T00:00:00Z"/>
        <d v="1968-11-05T00:00:00Z"/>
      </sharedItems>
    </cacheField>
    <cacheField name="Education (yrs)" numFmtId="1">
      <sharedItems containsSemiMixedTypes="0" containsString="0" containsNumber="1" containsInteger="1">
        <n v="15.0"/>
        <n v="16.0"/>
        <n v="12.0"/>
        <n v="8.0"/>
        <n v="19.0"/>
        <n v="17.0"/>
        <n v="18.0"/>
        <n v="14.0"/>
        <n v="20.0"/>
        <n v="21.0"/>
      </sharedItems>
    </cacheField>
    <cacheField name="Job Category" numFmtId="0">
      <sharedItems>
        <s v="Manager"/>
        <s v="Clerical"/>
        <s v="Custodial"/>
      </sharedItems>
    </cacheField>
    <cacheField name="Current Salary" numFmtId="165">
      <sharedItems containsSemiMixedTypes="0" containsString="0" containsNumber="1" containsInteger="1">
        <n v="57000.0"/>
        <n v="40200.0"/>
        <n v="21450.0"/>
        <n v="21900.0"/>
        <n v="45000.0"/>
        <n v="32100.0"/>
        <n v="36000.0"/>
        <n v="27900.0"/>
        <n v="24000.0"/>
        <n v="30300.0"/>
        <n v="28350.0"/>
        <n v="27750.0"/>
        <n v="35100.0"/>
        <n v="27300.0"/>
        <n v="40800.0"/>
        <n v="46000.0"/>
        <n v="103750.0"/>
        <n v="42300.0"/>
        <n v="26250.0"/>
        <n v="38850.0"/>
        <n v="21750.0"/>
        <n v="16950.0"/>
        <n v="21150.0"/>
        <n v="31050.0"/>
        <n v="60375.0"/>
        <n v="32550.0"/>
        <n v="135000.0"/>
        <n v="31200.0"/>
        <n v="36150.0"/>
        <n v="110625.0"/>
        <n v="42000.0"/>
        <n v="92000.0"/>
        <n v="81250.0"/>
        <n v="31350.0"/>
        <n v="29100.0"/>
        <n v="19200.0"/>
        <n v="23550.0"/>
        <n v="23250.0"/>
        <n v="29250.0"/>
        <n v="30750.0"/>
        <n v="22350.0"/>
        <n v="30000.0"/>
        <n v="34800.0"/>
        <n v="60000.0"/>
        <n v="35550.0"/>
        <n v="45150.0"/>
        <n v="73750.0"/>
        <n v="25050.0"/>
        <n v="27000.0"/>
        <n v="26850.0"/>
        <n v="33900.0"/>
        <n v="26400.0"/>
        <n v="28050.0"/>
        <n v="30900.0"/>
        <n v="22500.0"/>
        <n v="48000.0"/>
        <n v="55000.0"/>
        <n v="53125.0"/>
        <n v="78125.0"/>
        <n v="45250.0"/>
        <n v="56550.0"/>
        <n v="41100.0"/>
        <n v="82500.0"/>
        <n v="54000.0"/>
        <n v="24150.0"/>
        <n v="27600.0"/>
        <n v="22950.0"/>
        <n v="51000.0"/>
        <n v="24300.0"/>
        <n v="24750.0"/>
        <n v="25950.0"/>
        <n v="31650.0"/>
        <n v="72500.0"/>
        <n v="68750.0"/>
        <n v="16200.0"/>
        <n v="20100.0"/>
        <n v="24600.0"/>
        <n v="28500.0"/>
        <n v="22050.0"/>
        <n v="78250.0"/>
        <n v="60625.0"/>
        <n v="39900.0"/>
        <n v="97000.0"/>
        <n v="27450.0"/>
        <n v="91250.0"/>
        <n v="25200.0"/>
        <n v="21000.0"/>
        <n v="30450.0"/>
        <n v="54875.0"/>
        <n v="37800.0"/>
        <n v="33450.0"/>
        <n v="31500.0"/>
        <n v="18750.0"/>
        <n v="33300.0"/>
        <n v="38550.0"/>
        <n v="19650.0"/>
        <n v="59375.0"/>
        <n v="41550.0"/>
        <n v="22200.0"/>
        <n v="65000.0"/>
        <n v="24450.0"/>
        <n v="16650.0"/>
        <n v="26700.0"/>
        <n v="43950.0"/>
        <n v="23700.0"/>
        <n v="26550.0"/>
        <n v="25800.0"/>
        <n v="20850.0"/>
        <n v="35250.0"/>
        <n v="66000.0"/>
        <n v="52650.0"/>
        <n v="45625.0"/>
        <n v="29400.0"/>
        <n v="18150.0"/>
        <n v="46875.0"/>
        <n v="25500.0"/>
        <n v="29850.0"/>
        <n v="69250.0"/>
        <n v="31950.0"/>
        <n v="35700.0"/>
        <n v="17100.0"/>
        <n v="18450.0"/>
        <n v="39300.0"/>
        <n v="37500.0"/>
        <n v="58750.0"/>
        <n v="34500.0"/>
        <n v="16500.0"/>
        <n v="27150.0"/>
        <n v="23100.0"/>
        <n v="54900.0"/>
        <n v="70875.0"/>
        <n v="51250.0"/>
        <n v="67500.0"/>
        <n v="29340.0"/>
        <n v="39600.0"/>
        <n v="33150.0"/>
        <n v="66750.0"/>
        <n v="33750.0"/>
        <n v="19800.0"/>
        <n v="30600.0"/>
        <n v="28950.0"/>
        <n v="38400.0"/>
        <n v="20400.0"/>
        <n v="30150.0"/>
        <n v="34620.0"/>
        <n v="80000.0"/>
        <n v="25350.0"/>
        <n v="25650.0"/>
        <n v="17250.0"/>
        <n v="55500.0"/>
        <n v="50550.0"/>
        <n v="75000.0"/>
        <n v="22650.0"/>
        <n v="54375.0"/>
        <n v="17400.0"/>
        <n v="24900.0"/>
        <n v="28200.0"/>
        <n v="68125.0"/>
        <n v="52125.0"/>
        <n v="61875.0"/>
        <n v="21300.0"/>
        <n v="23400.0"/>
        <n v="19950.0"/>
        <n v="28650.0"/>
        <n v="66875.0"/>
        <n v="83750.0"/>
        <n v="56500.0"/>
        <n v="43000.0"/>
        <n v="73500.0"/>
        <n v="40050.0"/>
        <n v="40350.0"/>
        <n v="38700.0"/>
        <n v="51450.0"/>
        <n v="50000.0"/>
        <n v="44875.0"/>
        <n v="48750.0"/>
        <n v="43410.0"/>
        <n v="29160.0"/>
        <n v="16800.0"/>
        <n v="29550.0"/>
        <n v="62500.0"/>
        <n v="33000.0"/>
        <n v="37050.0"/>
        <n v="47250.0"/>
        <n v="26100.0"/>
        <n v="15900.0"/>
        <n v="59400.0"/>
        <n v="103500.0"/>
        <n v="56750.0"/>
        <n v="37650.0"/>
        <n v="20550.0"/>
        <n v="17700.0"/>
        <n v="28800.0"/>
        <n v="36600.0"/>
        <n v="58125.0"/>
        <n v="15750.0"/>
        <n v="78500.0"/>
        <n v="21600.0"/>
        <n v="23850.0"/>
        <n v="22800.0"/>
        <n v="20700.0"/>
        <n v="61250.0"/>
        <n v="43500.0"/>
        <n v="70000.0"/>
        <n v="66250.0"/>
        <n v="86250.0"/>
        <n v="33540.0"/>
        <n v="34950.0"/>
        <n v="30270.0"/>
        <n v="32400.0"/>
        <n v="29700.0"/>
        <n v="100000.0"/>
        <n v="49000.0"/>
        <n v="16350.0"/>
        <n v="90625.0"/>
        <n v="43650.0"/>
        <n v="34410.0"/>
        <n v="47550.0"/>
        <n v="32850.0"/>
        <n v="55750.0"/>
        <n v="39150.0"/>
      </sharedItems>
    </cacheField>
    <cacheField name="Starting Salary" numFmtId="165">
      <sharedItems containsSemiMixedTypes="0" containsString="0" containsNumber="1" containsInteger="1">
        <n v="27000.0"/>
        <n v="18750.0"/>
        <n v="12000.0"/>
        <n v="13200.0"/>
        <n v="21000.0"/>
        <n v="13500.0"/>
        <n v="9750.0"/>
        <n v="12750.0"/>
        <n v="16500.0"/>
        <n v="14250.0"/>
        <n v="16800.0"/>
        <n v="15000.0"/>
        <n v="27510.0"/>
        <n v="11550.0"/>
        <n v="11100.0"/>
        <n v="9000.0"/>
        <n v="12600.0"/>
        <n v="27480.0"/>
        <n v="79980.0"/>
        <n v="45000.0"/>
        <n v="39990.0"/>
        <n v="30000.0"/>
        <n v="11250.0"/>
        <n v="14100.0"/>
        <n v="23730.0"/>
        <n v="26250.0"/>
        <n v="15750.0"/>
        <n v="21750.0"/>
        <n v="14550.0"/>
        <n v="21240.0"/>
        <n v="21480.0"/>
        <n v="25000.0"/>
        <n v="20250.0"/>
        <n v="34980.0"/>
        <n v="18000.0"/>
        <n v="10500.0"/>
        <n v="19500.0"/>
        <n v="11400.0"/>
        <n v="10950.0"/>
        <n v="17100.0"/>
        <n v="28740.0"/>
        <n v="10050.0"/>
        <n v="22500.0"/>
        <n v="35010.0"/>
        <n v="29490.0"/>
        <n v="14400.0"/>
        <n v="17250.0"/>
        <n v="24990.0"/>
        <n v="37500.0"/>
        <n v="13350.0"/>
        <n v="13950.0"/>
        <n v="23250.0"/>
        <n v="12900.0"/>
        <n v="13050.0"/>
        <n v="47490.0"/>
        <n v="42480.0"/>
        <n v="15600.0"/>
        <n v="10200.0"/>
        <n v="20400.0"/>
        <n v="19980.0"/>
        <n v="25500.0"/>
        <n v="43500.0"/>
        <n v="52500.0"/>
        <n v="27750.0"/>
        <n v="13800.0"/>
        <n v="33750.0"/>
        <n v="31500.0"/>
        <n v="11225.0"/>
        <n v="32490.0"/>
        <n v="36750.0"/>
        <n v="31980.0"/>
        <n v="17490.0"/>
        <n v="32010.0"/>
        <n v="33000.0"/>
        <n v="30750.0"/>
        <n v="36240.0"/>
        <n v="15300.0"/>
        <n v="12150.0"/>
        <n v="21990.0"/>
        <n v="10650.0"/>
        <n v="12450.0"/>
        <n v="60000.0"/>
        <n v="14700.0"/>
        <n v="12300.0"/>
        <n v="35040.0"/>
        <n v="16050.0"/>
        <n v="44100.0"/>
        <n v="20550.0"/>
        <n v="31250.0"/>
        <n v="42510.0"/>
      </sharedItems>
    </cacheField>
    <cacheField name="Months in Job" numFmtId="1">
      <sharedItems containsSemiMixedTypes="0" containsString="0" containsNumber="1" containsInteger="1">
        <n v="98.0"/>
        <n v="97.0"/>
        <n v="96.0"/>
        <n v="95.0"/>
        <n v="94.0"/>
        <n v="93.0"/>
        <n v="92.0"/>
        <n v="91.0"/>
        <n v="90.0"/>
        <n v="89.0"/>
        <n v="88.0"/>
        <n v="87.0"/>
        <n v="86.0"/>
        <n v="85.0"/>
        <n v="84.0"/>
        <n v="83.0"/>
        <n v="82.0"/>
        <n v="81.0"/>
        <n v="80.0"/>
        <n v="79.0"/>
        <n v="78.0"/>
        <n v="77.0"/>
        <n v="76.0"/>
        <n v="75.0"/>
        <n v="74.0"/>
        <n v="73.0"/>
        <n v="72.0"/>
        <n v="71.0"/>
        <n v="70.0"/>
        <n v="69.0"/>
        <n v="68.0"/>
        <n v="67.0"/>
        <n v="66.0"/>
        <n v="65.0"/>
        <n v="64.0"/>
        <n v="63.0"/>
      </sharedItems>
    </cacheField>
    <cacheField name="Prev. Experience (months)" numFmtId="1">
      <sharedItems containsString="0" containsBlank="1" containsNumber="1" containsInteger="1">
        <n v="144.0"/>
        <n v="36.0"/>
        <n v="381.0"/>
        <n v="190.0"/>
        <n v="138.0"/>
        <n v="67.0"/>
        <n v="114.0"/>
        <m/>
        <n v="115.0"/>
        <n v="244.0"/>
        <n v="143.0"/>
        <n v="26.0"/>
        <n v="34.0"/>
        <n v="137.0"/>
        <n v="66.0"/>
        <n v="24.0"/>
        <n v="48.0"/>
        <n v="70.0"/>
        <n v="103.0"/>
        <n v="17.0"/>
        <n v="315.0"/>
        <n v="75.0"/>
        <n v="124.0"/>
        <n v="171.0"/>
        <n v="14.0"/>
        <n v="96.0"/>
        <n v="43.0"/>
        <n v="199.0"/>
        <n v="54.0"/>
        <n v="83.0"/>
        <n v="120.0"/>
        <n v="68.0"/>
        <n v="175.0"/>
        <n v="18.0"/>
        <n v="52.0"/>
        <n v="113.0"/>
        <n v="49.0"/>
        <n v="46.0"/>
        <n v="23.0"/>
        <n v="90.0"/>
        <n v="50.0"/>
        <n v="307.0"/>
        <n v="165.0"/>
        <n v="228.0"/>
        <n v="240.0"/>
        <n v="93.0"/>
        <n v="59.0"/>
        <n v="40.0"/>
        <n v="56.0"/>
        <n v="444.0"/>
        <n v="5.0"/>
        <n v="78.0"/>
        <n v="3.0"/>
        <n v="102.0"/>
        <n v="22.0"/>
        <n v="32.0"/>
        <n v="41.0"/>
        <n v="7.0"/>
        <n v="35.0"/>
        <n v="27.0"/>
        <n v="207.0"/>
        <n v="11.0"/>
        <n v="192.0"/>
        <n v="6.0"/>
        <n v="10.0"/>
        <n v="8.0"/>
        <n v="193.0"/>
        <n v="42.0"/>
        <n v="64.0"/>
        <n v="130.0"/>
        <n v="44.0"/>
        <n v="432.0"/>
        <n v="168.0"/>
        <n v="47.0"/>
        <n v="108.0"/>
        <n v="151.0"/>
        <n v="314.0"/>
        <n v="60.0"/>
        <n v="85.0"/>
        <n v="16.0"/>
        <n v="205.0"/>
        <n v="55.0"/>
        <n v="173.0"/>
        <n v="191.0"/>
        <n v="209.0"/>
        <n v="229.0"/>
        <n v="38.0"/>
        <n v="87.0"/>
        <n v="285.0"/>
        <n v="324.0"/>
        <n v="264.0"/>
        <n v="252.0"/>
        <n v="107.0"/>
        <n v="412.0"/>
        <n v="182.0"/>
        <n v="359.0"/>
        <n v="61.0"/>
        <n v="126.0"/>
        <n v="451.0"/>
        <n v="163.0"/>
        <n v="123.0"/>
        <n v="150.0"/>
        <n v="20.0"/>
        <n v="25.0"/>
        <n v="156.0"/>
        <n v="72.0"/>
        <n v="19.0"/>
        <n v="37.0"/>
        <n v="367.0"/>
        <n v="79.0"/>
        <n v="134.0"/>
        <n v="438.0"/>
        <n v="69.0"/>
        <n v="29.0"/>
        <n v="101.0"/>
        <n v="53.0"/>
        <n v="380.0"/>
        <n v="33.0"/>
        <n v="13.0"/>
        <n v="208.0"/>
        <n v="288.0"/>
        <n v="180.0"/>
        <n v="231.0"/>
        <n v="214.0"/>
        <n v="9.0"/>
        <n v="258.0"/>
        <n v="284.0"/>
        <n v="91.0"/>
        <n v="216.0"/>
        <n v="302.0"/>
        <n v="149.0"/>
        <n v="97.0"/>
        <n v="265.0"/>
        <n v="4.0"/>
        <n v="51.0"/>
        <n v="358.0"/>
        <n v="371.0"/>
        <n v="62.0"/>
        <n v="81.0"/>
        <n v="390.0"/>
        <n v="460.0"/>
        <n v="221.0"/>
        <n v="272.0"/>
        <n v="261.0"/>
        <n v="30.0"/>
        <n v="308.0"/>
        <n v="12.0"/>
        <n v="94.0"/>
        <n v="246.0"/>
        <n v="45.0"/>
        <n v="429.0"/>
        <n v="133.0"/>
        <n v="176.0"/>
        <n v="387.0"/>
        <n v="476.0"/>
        <n v="105.0"/>
        <n v="320.0"/>
        <n v="281.0"/>
        <n v="317.0"/>
        <n v="63.0"/>
        <n v="385.0"/>
        <n v="76.0"/>
        <n v="125.0"/>
        <n v="74.0"/>
        <n v="132.0"/>
        <n v="408.0"/>
        <n v="2.0"/>
        <n v="318.0"/>
        <n v="117.0"/>
        <n v="15.0"/>
        <n v="375.0"/>
        <n v="159.0"/>
        <n v="155.0"/>
        <n v="154.0"/>
        <n v="184.0"/>
        <n v="319.0"/>
        <n v="116.0"/>
        <n v="194.0"/>
        <n v="271.0"/>
        <n v="169.0"/>
        <n v="372.0"/>
        <n v="275.0"/>
        <n v="82.0"/>
        <n v="127.0"/>
        <n v="348.0"/>
        <n v="174.0"/>
        <n v="110.0"/>
        <n v="121.0"/>
        <n v="21.0"/>
        <n v="344.0"/>
        <n v="196.0"/>
        <n v="181.0"/>
        <n v="58.0"/>
        <n v="305.0"/>
        <n v="99.0"/>
        <n v="80.0"/>
        <n v="122.0"/>
        <n v="84.0"/>
        <n v="128.0"/>
        <n v="86.0"/>
        <n v="129.0"/>
        <n v="210.0"/>
        <n v="338.0"/>
        <n v="241.0"/>
        <n v="106.0"/>
        <n v="198.0"/>
        <n v="57.0"/>
        <n v="139.0"/>
      </sharedItems>
    </cacheField>
    <cacheField name="Minority" numFmtId="0">
      <sharedItems>
        <s v="No"/>
        <s v="Ye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5" firstHeaderRow="0" firstDataRow="1" firstDataCol="0"/>
  <pivotFields>
    <pivotField name="ID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Birth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t="default"/>
      </items>
    </pivotField>
    <pivotField name="Education (yrs)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Job Category" axis="axisRow" compact="0" outline="0" multipleItemSelectionAllowed="1" showAll="0" sortType="ascending">
      <items>
        <item x="1"/>
        <item x="2"/>
        <item x="0"/>
        <item t="default"/>
      </items>
    </pivotField>
    <pivotField name="Current Salary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t="default"/>
      </items>
    </pivotField>
    <pivotField name="Starting Salary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Months in Job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Prev. Experience (months)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t="default"/>
      </items>
    </pivotField>
    <pivotField name="Minority" compact="0" outline="0" multipleItemSelectionAllowed="1" showAll="0">
      <items>
        <item x="0"/>
        <item x="1"/>
        <item t="default"/>
      </items>
    </pivotField>
  </pivotFields>
  <rowFields>
    <field x="4"/>
  </rowFields>
  <dataFields>
    <dataField name="Avg salary" fld="5" subtotal="average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compact="0" compactData="0">
  <location ref="A1:B4" firstHeaderRow="0" firstDataRow="1" firstDataCol="0"/>
  <pivotFields>
    <pivotField name="ID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t="default"/>
      </items>
    </pivotField>
    <pivotField name="Gender" axis="axisRow" compact="0" outline="0" multipleItemSelectionAllowed="1" showAll="0" sortType="ascending">
      <items>
        <item x="1"/>
        <item x="0"/>
        <item t="default"/>
      </items>
    </pivotField>
    <pivotField name="Birth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t="default"/>
      </items>
    </pivotField>
    <pivotField name="Education (yrs)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Job Category" compact="0" outline="0" multipleItemSelectionAllowed="1" showAll="0">
      <items>
        <item x="0"/>
        <item x="1"/>
        <item x="2"/>
        <item t="default"/>
      </items>
    </pivotField>
    <pivotField name="Current Salary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t="default"/>
      </items>
    </pivotField>
    <pivotField name="Starting Salary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Months in Job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Prev. Experience (months)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t="default"/>
      </items>
    </pivotField>
    <pivotField name="Minority" compact="0" outline="0" multipleItemSelectionAllowed="1" showAll="0">
      <items>
        <item x="0"/>
        <item x="1"/>
        <item t="default"/>
      </items>
    </pivotField>
  </pivotFields>
  <rowFields>
    <field x="1"/>
  </rowFields>
  <dataFields>
    <dataField name="COUNT of ID" fld="0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0" width="13.0"/>
    <col customWidth="1" min="11" max="26" width="8.71"/>
  </cols>
  <sheetData>
    <row r="1">
      <c r="A1" s="2">
        <v>1.0</v>
      </c>
      <c r="B1" s="5" t="s">
        <v>3</v>
      </c>
      <c r="C1" s="5" t="s">
        <v>5</v>
      </c>
      <c r="D1" s="5" t="s">
        <v>6</v>
      </c>
      <c r="E1" s="5" t="s">
        <v>8</v>
      </c>
      <c r="F1" s="5" t="s">
        <v>9</v>
      </c>
      <c r="G1" s="5" t="s">
        <v>11</v>
      </c>
      <c r="H1" s="5" t="s">
        <v>13</v>
      </c>
      <c r="I1" s="5" t="s">
        <v>14</v>
      </c>
      <c r="J1" s="5" t="s">
        <v>15</v>
      </c>
    </row>
    <row r="2">
      <c r="A2" s="6" t="s">
        <v>17</v>
      </c>
      <c r="B2" s="6" t="s">
        <v>20</v>
      </c>
      <c r="C2" s="6" t="s">
        <v>22</v>
      </c>
      <c r="D2" s="6" t="s">
        <v>24</v>
      </c>
      <c r="E2" s="6" t="s">
        <v>26</v>
      </c>
      <c r="F2" s="6" t="s">
        <v>27</v>
      </c>
      <c r="G2" s="6" t="s">
        <v>30</v>
      </c>
      <c r="H2" s="6" t="s">
        <v>31</v>
      </c>
      <c r="I2" s="6" t="s">
        <v>32</v>
      </c>
      <c r="J2" s="6" t="s">
        <v>33</v>
      </c>
    </row>
    <row r="3">
      <c r="A3" s="6" t="s">
        <v>35</v>
      </c>
      <c r="B3" s="6" t="s">
        <v>20</v>
      </c>
      <c r="C3" s="6" t="s">
        <v>36</v>
      </c>
      <c r="D3" s="6" t="s">
        <v>38</v>
      </c>
      <c r="E3" s="6" t="s">
        <v>25</v>
      </c>
      <c r="F3" s="6" t="s">
        <v>39</v>
      </c>
      <c r="G3" s="6" t="s">
        <v>40</v>
      </c>
      <c r="H3" s="6" t="s">
        <v>31</v>
      </c>
      <c r="I3" s="6" t="s">
        <v>41</v>
      </c>
      <c r="J3" s="6" t="s">
        <v>33</v>
      </c>
    </row>
    <row r="4">
      <c r="A4" s="6" t="s">
        <v>42</v>
      </c>
      <c r="B4" s="6" t="s">
        <v>43</v>
      </c>
      <c r="C4" s="6" t="s">
        <v>44</v>
      </c>
      <c r="D4" s="6" t="s">
        <v>45</v>
      </c>
      <c r="E4" s="6" t="s">
        <v>25</v>
      </c>
      <c r="F4" s="6" t="s">
        <v>46</v>
      </c>
      <c r="G4" s="6" t="s">
        <v>48</v>
      </c>
      <c r="H4" s="6" t="s">
        <v>31</v>
      </c>
      <c r="I4" s="6" t="s">
        <v>50</v>
      </c>
      <c r="J4" s="6" t="s">
        <v>33</v>
      </c>
    </row>
    <row r="5">
      <c r="A5" s="6" t="s">
        <v>54</v>
      </c>
      <c r="B5" s="6" t="s">
        <v>43</v>
      </c>
      <c r="C5" s="6" t="s">
        <v>56</v>
      </c>
      <c r="D5" s="6" t="s">
        <v>57</v>
      </c>
      <c r="E5" s="6" t="s">
        <v>25</v>
      </c>
      <c r="F5" s="6" t="s">
        <v>60</v>
      </c>
      <c r="G5" s="6" t="s">
        <v>63</v>
      </c>
      <c r="H5" s="6" t="s">
        <v>31</v>
      </c>
      <c r="I5" s="6" t="s">
        <v>65</v>
      </c>
      <c r="J5" s="6" t="s">
        <v>33</v>
      </c>
    </row>
    <row r="6">
      <c r="A6" s="6" t="s">
        <v>70</v>
      </c>
      <c r="B6" s="6" t="s">
        <v>20</v>
      </c>
      <c r="C6" s="6" t="s">
        <v>72</v>
      </c>
      <c r="D6" s="6" t="s">
        <v>24</v>
      </c>
      <c r="E6" s="6" t="s">
        <v>25</v>
      </c>
      <c r="F6" s="6" t="s">
        <v>74</v>
      </c>
      <c r="G6" s="6" t="s">
        <v>75</v>
      </c>
      <c r="H6" s="6" t="s">
        <v>31</v>
      </c>
      <c r="I6" s="6" t="s">
        <v>76</v>
      </c>
      <c r="J6" s="6" t="s">
        <v>33</v>
      </c>
    </row>
    <row r="7">
      <c r="A7" s="6" t="s">
        <v>78</v>
      </c>
      <c r="B7" s="6" t="s">
        <v>20</v>
      </c>
      <c r="C7" s="6" t="s">
        <v>79</v>
      </c>
      <c r="D7" s="6" t="s">
        <v>24</v>
      </c>
      <c r="E7" s="6" t="s">
        <v>25</v>
      </c>
      <c r="F7" s="6" t="s">
        <v>80</v>
      </c>
      <c r="G7" s="6" t="s">
        <v>81</v>
      </c>
      <c r="H7" s="6" t="s">
        <v>31</v>
      </c>
      <c r="I7" s="6" t="s">
        <v>83</v>
      </c>
      <c r="J7" s="6" t="s">
        <v>33</v>
      </c>
    </row>
    <row r="8">
      <c r="A8" s="6" t="s">
        <v>86</v>
      </c>
      <c r="B8" s="6" t="s">
        <v>20</v>
      </c>
      <c r="C8" s="6" t="s">
        <v>88</v>
      </c>
      <c r="D8" s="6" t="s">
        <v>24</v>
      </c>
      <c r="E8" s="6" t="s">
        <v>25</v>
      </c>
      <c r="F8" s="6" t="s">
        <v>89</v>
      </c>
      <c r="G8" s="6" t="s">
        <v>40</v>
      </c>
      <c r="H8" s="6" t="s">
        <v>31</v>
      </c>
      <c r="I8" s="6" t="s">
        <v>90</v>
      </c>
      <c r="J8" s="6" t="s">
        <v>33</v>
      </c>
    </row>
    <row r="9">
      <c r="A9" s="6" t="s">
        <v>91</v>
      </c>
      <c r="B9" s="6" t="s">
        <v>43</v>
      </c>
      <c r="C9" s="6" t="s">
        <v>92</v>
      </c>
      <c r="D9" s="6" t="s">
        <v>45</v>
      </c>
      <c r="E9" s="6" t="s">
        <v>25</v>
      </c>
      <c r="F9" s="6" t="s">
        <v>60</v>
      </c>
      <c r="G9" s="6" t="s">
        <v>93</v>
      </c>
      <c r="H9" s="6" t="s">
        <v>31</v>
      </c>
      <c r="I9" s="6" t="s">
        <v>94</v>
      </c>
      <c r="J9" s="6" t="s">
        <v>33</v>
      </c>
    </row>
    <row r="10">
      <c r="A10" s="6" t="s">
        <v>95</v>
      </c>
      <c r="B10" s="6" t="s">
        <v>43</v>
      </c>
      <c r="C10" s="6" t="s">
        <v>96</v>
      </c>
      <c r="D10" s="6" t="s">
        <v>24</v>
      </c>
      <c r="E10" s="6" t="s">
        <v>25</v>
      </c>
      <c r="F10" s="6" t="s">
        <v>97</v>
      </c>
      <c r="G10" s="6" t="s">
        <v>98</v>
      </c>
      <c r="H10" s="6" t="s">
        <v>31</v>
      </c>
      <c r="I10" s="6" t="s">
        <v>99</v>
      </c>
      <c r="J10" s="6" t="s">
        <v>33</v>
      </c>
    </row>
    <row r="11">
      <c r="A11" s="6" t="s">
        <v>100</v>
      </c>
      <c r="B11" s="6" t="s">
        <v>43</v>
      </c>
      <c r="C11" s="6" t="s">
        <v>101</v>
      </c>
      <c r="D11" s="6" t="s">
        <v>45</v>
      </c>
      <c r="E11" s="6" t="s">
        <v>25</v>
      </c>
      <c r="F11" s="6" t="s">
        <v>102</v>
      </c>
      <c r="G11" s="6" t="s">
        <v>81</v>
      </c>
      <c r="H11" s="6" t="s">
        <v>31</v>
      </c>
      <c r="I11" s="6" t="s">
        <v>103</v>
      </c>
      <c r="J11" s="6" t="s">
        <v>33</v>
      </c>
    </row>
    <row r="12">
      <c r="A12" s="6" t="s">
        <v>104</v>
      </c>
      <c r="B12" s="6" t="s">
        <v>43</v>
      </c>
      <c r="C12" s="6" t="s">
        <v>105</v>
      </c>
      <c r="D12" s="6" t="s">
        <v>38</v>
      </c>
      <c r="E12" s="6" t="s">
        <v>25</v>
      </c>
      <c r="F12" s="6" t="s">
        <v>106</v>
      </c>
      <c r="G12" s="6" t="s">
        <v>107</v>
      </c>
      <c r="H12" s="6" t="s">
        <v>31</v>
      </c>
      <c r="I12" s="6" t="s">
        <v>108</v>
      </c>
      <c r="J12" s="6" t="s">
        <v>33</v>
      </c>
    </row>
    <row r="13">
      <c r="A13" s="6" t="s">
        <v>109</v>
      </c>
      <c r="B13" s="6" t="s">
        <v>20</v>
      </c>
      <c r="C13" s="6" t="s">
        <v>110</v>
      </c>
      <c r="D13" s="6" t="s">
        <v>57</v>
      </c>
      <c r="E13" s="6" t="s">
        <v>25</v>
      </c>
      <c r="F13" s="6" t="s">
        <v>111</v>
      </c>
      <c r="G13" s="6" t="s">
        <v>48</v>
      </c>
      <c r="H13" s="6" t="s">
        <v>31</v>
      </c>
      <c r="I13" s="6" t="s">
        <v>112</v>
      </c>
      <c r="J13" s="6" t="s">
        <v>113</v>
      </c>
    </row>
    <row r="14">
      <c r="A14" s="6" t="s">
        <v>114</v>
      </c>
      <c r="B14" s="6" t="s">
        <v>20</v>
      </c>
      <c r="C14" s="6" t="s">
        <v>115</v>
      </c>
      <c r="D14" s="6" t="s">
        <v>24</v>
      </c>
      <c r="E14" s="6" t="s">
        <v>25</v>
      </c>
      <c r="F14" s="6" t="s">
        <v>116</v>
      </c>
      <c r="G14" s="6" t="s">
        <v>117</v>
      </c>
      <c r="H14" s="6" t="s">
        <v>31</v>
      </c>
      <c r="I14" s="6" t="s">
        <v>118</v>
      </c>
      <c r="J14" s="6" t="s">
        <v>113</v>
      </c>
    </row>
    <row r="15">
      <c r="A15" s="6" t="s">
        <v>119</v>
      </c>
      <c r="B15" s="6" t="s">
        <v>43</v>
      </c>
      <c r="C15" s="6" t="s">
        <v>120</v>
      </c>
      <c r="D15" s="6" t="s">
        <v>24</v>
      </c>
      <c r="E15" s="6" t="s">
        <v>25</v>
      </c>
      <c r="F15" s="6" t="s">
        <v>121</v>
      </c>
      <c r="G15" s="6" t="s">
        <v>122</v>
      </c>
      <c r="H15" s="6" t="s">
        <v>31</v>
      </c>
      <c r="I15" s="6" t="s">
        <v>123</v>
      </c>
      <c r="J15" s="6" t="s">
        <v>113</v>
      </c>
    </row>
    <row r="16">
      <c r="A16" s="6" t="s">
        <v>124</v>
      </c>
      <c r="B16" s="6" t="s">
        <v>20</v>
      </c>
      <c r="C16" s="6" t="s">
        <v>125</v>
      </c>
      <c r="D16" s="6" t="s">
        <v>45</v>
      </c>
      <c r="E16" s="6" t="s">
        <v>25</v>
      </c>
      <c r="F16" s="6" t="s">
        <v>126</v>
      </c>
      <c r="G16" s="6" t="s">
        <v>81</v>
      </c>
      <c r="H16" s="6" t="s">
        <v>127</v>
      </c>
      <c r="I16" s="6" t="s">
        <v>128</v>
      </c>
      <c r="J16" s="6" t="s">
        <v>33</v>
      </c>
    </row>
    <row r="17">
      <c r="A17" s="6" t="s">
        <v>129</v>
      </c>
      <c r="B17" s="6" t="s">
        <v>20</v>
      </c>
      <c r="C17" s="6" t="s">
        <v>130</v>
      </c>
      <c r="D17" s="6" t="s">
        <v>45</v>
      </c>
      <c r="E17" s="6" t="s">
        <v>25</v>
      </c>
      <c r="F17" s="6" t="s">
        <v>131</v>
      </c>
      <c r="G17" s="6" t="s">
        <v>132</v>
      </c>
      <c r="H17" s="6" t="s">
        <v>127</v>
      </c>
      <c r="I17" s="6" t="s">
        <v>134</v>
      </c>
      <c r="J17" s="6" t="s">
        <v>33</v>
      </c>
    </row>
    <row r="18">
      <c r="A18" s="6" t="s">
        <v>135</v>
      </c>
      <c r="B18" s="6" t="s">
        <v>20</v>
      </c>
      <c r="C18" s="6" t="s">
        <v>136</v>
      </c>
      <c r="D18" s="6" t="s">
        <v>24</v>
      </c>
      <c r="E18" s="6" t="s">
        <v>25</v>
      </c>
      <c r="F18" s="6" t="s">
        <v>137</v>
      </c>
      <c r="G18" s="6" t="s">
        <v>117</v>
      </c>
      <c r="H18" s="6" t="s">
        <v>127</v>
      </c>
      <c r="I18" s="6" t="s">
        <v>138</v>
      </c>
      <c r="J18" s="6" t="s">
        <v>33</v>
      </c>
    </row>
    <row r="19">
      <c r="A19" s="6" t="s">
        <v>139</v>
      </c>
      <c r="B19" s="6" t="s">
        <v>20</v>
      </c>
      <c r="C19" s="6" t="s">
        <v>140</v>
      </c>
      <c r="D19" s="6" t="s">
        <v>38</v>
      </c>
      <c r="E19" s="6" t="s">
        <v>26</v>
      </c>
      <c r="F19" s="6" t="s">
        <v>141</v>
      </c>
      <c r="G19" s="6" t="s">
        <v>142</v>
      </c>
      <c r="H19" s="6" t="s">
        <v>127</v>
      </c>
      <c r="I19" s="6" t="s">
        <v>143</v>
      </c>
      <c r="J19" s="6" t="s">
        <v>33</v>
      </c>
    </row>
    <row r="20">
      <c r="A20" s="6" t="s">
        <v>144</v>
      </c>
      <c r="B20" s="6" t="s">
        <v>20</v>
      </c>
      <c r="C20" s="6" t="s">
        <v>145</v>
      </c>
      <c r="D20" s="6" t="s">
        <v>45</v>
      </c>
      <c r="E20" s="6" t="s">
        <v>25</v>
      </c>
      <c r="F20" s="6" t="s">
        <v>146</v>
      </c>
      <c r="G20" s="6" t="s">
        <v>117</v>
      </c>
      <c r="H20" s="6" t="s">
        <v>127</v>
      </c>
      <c r="I20" s="6" t="s">
        <v>147</v>
      </c>
      <c r="J20" s="6" t="s">
        <v>33</v>
      </c>
    </row>
    <row r="21" ht="15.75" customHeight="1">
      <c r="A21" s="6" t="s">
        <v>148</v>
      </c>
      <c r="B21" s="6" t="s">
        <v>43</v>
      </c>
      <c r="C21" s="6" t="s">
        <v>149</v>
      </c>
      <c r="D21" s="6" t="s">
        <v>45</v>
      </c>
      <c r="E21" s="6" t="s">
        <v>25</v>
      </c>
      <c r="F21" s="6" t="s">
        <v>150</v>
      </c>
      <c r="G21" s="6" t="s">
        <v>151</v>
      </c>
      <c r="H21" s="6" t="s">
        <v>127</v>
      </c>
      <c r="I21" s="6" t="s">
        <v>138</v>
      </c>
      <c r="J21" s="6" t="s">
        <v>33</v>
      </c>
    </row>
    <row r="22" ht="15.75" customHeight="1">
      <c r="A22" s="6" t="s">
        <v>152</v>
      </c>
      <c r="B22" s="6" t="s">
        <v>43</v>
      </c>
      <c r="C22" s="6" t="s">
        <v>153</v>
      </c>
      <c r="D22" s="6" t="s">
        <v>38</v>
      </c>
      <c r="E22" s="6" t="s">
        <v>25</v>
      </c>
      <c r="F22" s="6" t="s">
        <v>154</v>
      </c>
      <c r="G22" s="6" t="s">
        <v>132</v>
      </c>
      <c r="H22" s="6" t="s">
        <v>127</v>
      </c>
      <c r="I22" s="6" t="s">
        <v>135</v>
      </c>
      <c r="J22" s="6" t="s">
        <v>33</v>
      </c>
    </row>
    <row r="23" ht="15.75" customHeight="1">
      <c r="A23" s="6" t="s">
        <v>155</v>
      </c>
      <c r="B23" s="6" t="s">
        <v>20</v>
      </c>
      <c r="C23" s="6" t="s">
        <v>156</v>
      </c>
      <c r="D23" s="6" t="s">
        <v>45</v>
      </c>
      <c r="E23" s="6" t="s">
        <v>25</v>
      </c>
      <c r="F23" s="6" t="s">
        <v>157</v>
      </c>
      <c r="G23" s="6" t="s">
        <v>98</v>
      </c>
      <c r="H23" s="6" t="s">
        <v>127</v>
      </c>
      <c r="I23" s="6" t="s">
        <v>158</v>
      </c>
      <c r="J23" s="6" t="s">
        <v>113</v>
      </c>
    </row>
    <row r="24" ht="15.75" customHeight="1">
      <c r="A24" s="6" t="s">
        <v>159</v>
      </c>
      <c r="B24" s="6" t="s">
        <v>43</v>
      </c>
      <c r="C24" s="6" t="s">
        <v>160</v>
      </c>
      <c r="D24" s="6" t="s">
        <v>24</v>
      </c>
      <c r="E24" s="6" t="s">
        <v>25</v>
      </c>
      <c r="F24" s="6" t="s">
        <v>102</v>
      </c>
      <c r="G24" s="6" t="s">
        <v>161</v>
      </c>
      <c r="H24" s="6" t="s">
        <v>127</v>
      </c>
      <c r="I24" s="6" t="s">
        <v>162</v>
      </c>
      <c r="J24" s="6" t="s">
        <v>113</v>
      </c>
    </row>
    <row r="25" ht="15.75" customHeight="1">
      <c r="A25" s="6" t="s">
        <v>134</v>
      </c>
      <c r="B25" s="6" t="s">
        <v>43</v>
      </c>
      <c r="C25" s="6" t="s">
        <v>163</v>
      </c>
      <c r="D25" s="6" t="s">
        <v>45</v>
      </c>
      <c r="E25" s="6" t="s">
        <v>25</v>
      </c>
      <c r="F25" s="6" t="s">
        <v>164</v>
      </c>
      <c r="G25" s="6" t="s">
        <v>165</v>
      </c>
      <c r="H25" s="6" t="s">
        <v>127</v>
      </c>
      <c r="I25" s="6" t="s">
        <v>166</v>
      </c>
      <c r="J25" s="6" t="s">
        <v>113</v>
      </c>
    </row>
    <row r="26" ht="15.75" customHeight="1">
      <c r="A26" s="6" t="s">
        <v>167</v>
      </c>
      <c r="B26" s="6" t="s">
        <v>43</v>
      </c>
      <c r="C26" s="6" t="s">
        <v>168</v>
      </c>
      <c r="D26" s="6" t="s">
        <v>24</v>
      </c>
      <c r="E26" s="6" t="s">
        <v>25</v>
      </c>
      <c r="F26" s="6" t="s">
        <v>169</v>
      </c>
      <c r="G26" s="6" t="s">
        <v>165</v>
      </c>
      <c r="H26" s="6" t="s">
        <v>127</v>
      </c>
      <c r="I26" s="6" t="s">
        <v>170</v>
      </c>
      <c r="J26" s="6" t="s">
        <v>113</v>
      </c>
    </row>
    <row r="27" ht="15.75" customHeight="1">
      <c r="A27" s="6" t="s">
        <v>112</v>
      </c>
      <c r="B27" s="6" t="s">
        <v>20</v>
      </c>
      <c r="C27" s="6" t="s">
        <v>171</v>
      </c>
      <c r="D27" s="6" t="s">
        <v>24</v>
      </c>
      <c r="E27" s="6" t="s">
        <v>25</v>
      </c>
      <c r="F27" s="6" t="s">
        <v>172</v>
      </c>
      <c r="G27" s="6" t="s">
        <v>173</v>
      </c>
      <c r="H27" s="6" t="s">
        <v>174</v>
      </c>
      <c r="I27" s="6" t="s">
        <v>119</v>
      </c>
      <c r="J27" s="6" t="s">
        <v>33</v>
      </c>
    </row>
    <row r="28" ht="15.75" customHeight="1">
      <c r="A28" s="6" t="s">
        <v>176</v>
      </c>
      <c r="B28" s="6" t="s">
        <v>20</v>
      </c>
      <c r="C28" s="6" t="s">
        <v>177</v>
      </c>
      <c r="D28" s="6" t="s">
        <v>178</v>
      </c>
      <c r="E28" s="6" t="s">
        <v>26</v>
      </c>
      <c r="F28" s="6" t="s">
        <v>179</v>
      </c>
      <c r="G28" s="6" t="s">
        <v>180</v>
      </c>
      <c r="H28" s="6" t="s">
        <v>174</v>
      </c>
      <c r="I28" s="6" t="s">
        <v>174</v>
      </c>
      <c r="J28" s="6" t="s">
        <v>33</v>
      </c>
    </row>
    <row r="29" ht="15.75" customHeight="1">
      <c r="A29" s="6" t="s">
        <v>181</v>
      </c>
      <c r="B29" s="6" t="s">
        <v>20</v>
      </c>
      <c r="C29" s="6" t="s">
        <v>182</v>
      </c>
      <c r="D29" s="6" t="s">
        <v>24</v>
      </c>
      <c r="E29" s="6" t="s">
        <v>25</v>
      </c>
      <c r="F29" s="6" t="s">
        <v>183</v>
      </c>
      <c r="G29" s="6" t="s">
        <v>117</v>
      </c>
      <c r="H29" s="6" t="s">
        <v>174</v>
      </c>
      <c r="I29" s="6" t="s">
        <v>184</v>
      </c>
      <c r="J29" s="6" t="s">
        <v>33</v>
      </c>
    </row>
    <row r="30" ht="15.75" customHeight="1">
      <c r="A30" s="6" t="s">
        <v>185</v>
      </c>
      <c r="B30" s="6" t="s">
        <v>20</v>
      </c>
      <c r="C30" s="6" t="s">
        <v>186</v>
      </c>
      <c r="D30" s="6" t="s">
        <v>178</v>
      </c>
      <c r="E30" s="6" t="s">
        <v>26</v>
      </c>
      <c r="F30" s="6" t="s">
        <v>187</v>
      </c>
      <c r="G30" s="6" t="s">
        <v>188</v>
      </c>
      <c r="H30" s="6" t="s">
        <v>174</v>
      </c>
      <c r="I30" s="6" t="s">
        <v>189</v>
      </c>
      <c r="J30" s="6" t="s">
        <v>33</v>
      </c>
    </row>
    <row r="31" ht="15.75" customHeight="1">
      <c r="A31" s="6" t="s">
        <v>190</v>
      </c>
      <c r="B31" s="6" t="s">
        <v>20</v>
      </c>
      <c r="C31" s="6" t="s">
        <v>191</v>
      </c>
      <c r="D31" s="6" t="s">
        <v>24</v>
      </c>
      <c r="E31" s="6" t="s">
        <v>25</v>
      </c>
      <c r="F31" s="6" t="s">
        <v>192</v>
      </c>
      <c r="G31" s="6" t="s">
        <v>117</v>
      </c>
      <c r="H31" s="6" t="s">
        <v>174</v>
      </c>
      <c r="I31" s="6" t="s">
        <v>193</v>
      </c>
      <c r="J31" s="6" t="s">
        <v>33</v>
      </c>
    </row>
    <row r="32" ht="15.75" customHeight="1">
      <c r="A32" s="6" t="s">
        <v>194</v>
      </c>
      <c r="B32" s="6" t="s">
        <v>20</v>
      </c>
      <c r="C32" s="6" t="s">
        <v>195</v>
      </c>
      <c r="D32" s="6" t="s">
        <v>45</v>
      </c>
      <c r="E32" s="6" t="s">
        <v>25</v>
      </c>
      <c r="F32" s="6" t="s">
        <v>196</v>
      </c>
      <c r="G32" s="6" t="s">
        <v>117</v>
      </c>
      <c r="H32" s="6" t="s">
        <v>174</v>
      </c>
      <c r="I32" s="6" t="s">
        <v>197</v>
      </c>
      <c r="J32" s="6" t="s">
        <v>33</v>
      </c>
    </row>
    <row r="33" ht="15.75" customHeight="1">
      <c r="A33" s="6" t="s">
        <v>198</v>
      </c>
      <c r="B33" s="6" t="s">
        <v>20</v>
      </c>
      <c r="C33" s="6" t="s">
        <v>199</v>
      </c>
      <c r="D33" s="6" t="s">
        <v>178</v>
      </c>
      <c r="E33" s="6" t="s">
        <v>26</v>
      </c>
      <c r="F33" s="6" t="s">
        <v>200</v>
      </c>
      <c r="G33" s="6" t="s">
        <v>74</v>
      </c>
      <c r="H33" s="6" t="s">
        <v>174</v>
      </c>
      <c r="I33" s="6" t="s">
        <v>201</v>
      </c>
      <c r="J33" s="6" t="s">
        <v>33</v>
      </c>
    </row>
    <row r="34" ht="15.75" customHeight="1">
      <c r="A34" s="6" t="s">
        <v>203</v>
      </c>
      <c r="B34" s="6" t="s">
        <v>20</v>
      </c>
      <c r="C34" s="6" t="s">
        <v>204</v>
      </c>
      <c r="D34" s="6" t="s">
        <v>24</v>
      </c>
      <c r="E34" s="6" t="s">
        <v>25</v>
      </c>
      <c r="F34" s="6" t="s">
        <v>205</v>
      </c>
      <c r="G34" s="6" t="s">
        <v>132</v>
      </c>
      <c r="H34" s="6" t="s">
        <v>174</v>
      </c>
      <c r="I34" s="6" t="s">
        <v>206</v>
      </c>
      <c r="J34" s="6" t="s">
        <v>33</v>
      </c>
    </row>
    <row r="35" ht="15.75" customHeight="1">
      <c r="A35" s="6" t="s">
        <v>118</v>
      </c>
      <c r="B35" s="6" t="s">
        <v>20</v>
      </c>
      <c r="C35" s="6" t="s">
        <v>207</v>
      </c>
      <c r="D35" s="6" t="s">
        <v>178</v>
      </c>
      <c r="E35" s="6" t="s">
        <v>26</v>
      </c>
      <c r="F35" s="6" t="s">
        <v>208</v>
      </c>
      <c r="G35" s="6" t="s">
        <v>209</v>
      </c>
      <c r="H35" s="6" t="s">
        <v>174</v>
      </c>
      <c r="I35" s="6" t="s">
        <v>210</v>
      </c>
      <c r="J35" s="6" t="s">
        <v>33</v>
      </c>
    </row>
    <row r="36" ht="15.75" customHeight="1">
      <c r="A36" s="6" t="s">
        <v>211</v>
      </c>
      <c r="B36" s="6" t="s">
        <v>20</v>
      </c>
      <c r="C36" s="6" t="s">
        <v>212</v>
      </c>
      <c r="D36" s="6" t="s">
        <v>213</v>
      </c>
      <c r="E36" s="6" t="s">
        <v>26</v>
      </c>
      <c r="F36" s="6" t="s">
        <v>214</v>
      </c>
      <c r="G36" s="6" t="s">
        <v>215</v>
      </c>
      <c r="H36" s="6" t="s">
        <v>174</v>
      </c>
      <c r="I36" s="6" t="s">
        <v>139</v>
      </c>
      <c r="J36" s="6" t="s">
        <v>33</v>
      </c>
    </row>
    <row r="37" ht="15.75" customHeight="1">
      <c r="A37" s="6" t="s">
        <v>41</v>
      </c>
      <c r="B37" s="6" t="s">
        <v>43</v>
      </c>
      <c r="C37" s="6" t="s">
        <v>216</v>
      </c>
      <c r="D37" s="6" t="s">
        <v>57</v>
      </c>
      <c r="E37" s="6" t="s">
        <v>25</v>
      </c>
      <c r="F37" s="6" t="s">
        <v>217</v>
      </c>
      <c r="G37" s="6" t="s">
        <v>218</v>
      </c>
      <c r="H37" s="6" t="s">
        <v>174</v>
      </c>
      <c r="I37" s="6" t="s">
        <v>219</v>
      </c>
      <c r="J37" s="6" t="s">
        <v>33</v>
      </c>
    </row>
    <row r="38" ht="15.75" customHeight="1">
      <c r="A38" s="6" t="s">
        <v>220</v>
      </c>
      <c r="B38" s="6" t="s">
        <v>20</v>
      </c>
      <c r="C38" s="6" t="s">
        <v>221</v>
      </c>
      <c r="D38" s="6" t="s">
        <v>45</v>
      </c>
      <c r="E38" s="6" t="s">
        <v>25</v>
      </c>
      <c r="F38" s="6" t="s">
        <v>222</v>
      </c>
      <c r="G38" s="6" t="s">
        <v>81</v>
      </c>
      <c r="H38" s="6" t="s">
        <v>174</v>
      </c>
      <c r="I38" s="6" t="s">
        <v>223</v>
      </c>
      <c r="J38" s="6" t="s">
        <v>113</v>
      </c>
    </row>
    <row r="39" ht="15.75" customHeight="1">
      <c r="A39" s="6" t="s">
        <v>224</v>
      </c>
      <c r="B39" s="6" t="s">
        <v>20</v>
      </c>
      <c r="C39" s="6" t="s">
        <v>225</v>
      </c>
      <c r="D39" s="6" t="s">
        <v>24</v>
      </c>
      <c r="E39" s="6" t="s">
        <v>25</v>
      </c>
      <c r="F39" s="6" t="s">
        <v>217</v>
      </c>
      <c r="G39" s="6" t="s">
        <v>132</v>
      </c>
      <c r="H39" s="6" t="s">
        <v>174</v>
      </c>
      <c r="I39" s="6" t="s">
        <v>226</v>
      </c>
      <c r="J39" s="6" t="s">
        <v>113</v>
      </c>
    </row>
    <row r="40" ht="15.75" customHeight="1">
      <c r="A40" s="6" t="s">
        <v>227</v>
      </c>
      <c r="B40" s="6" t="s">
        <v>20</v>
      </c>
      <c r="C40" s="6" t="s">
        <v>228</v>
      </c>
      <c r="D40" s="6" t="s">
        <v>38</v>
      </c>
      <c r="E40" s="6" t="s">
        <v>25</v>
      </c>
      <c r="F40" s="6" t="s">
        <v>89</v>
      </c>
      <c r="G40" s="6" t="s">
        <v>132</v>
      </c>
      <c r="H40" s="6" t="s">
        <v>174</v>
      </c>
      <c r="I40" s="6" t="s">
        <v>229</v>
      </c>
      <c r="J40" s="6" t="s">
        <v>113</v>
      </c>
    </row>
    <row r="41" ht="15.75" customHeight="1">
      <c r="A41" s="6" t="s">
        <v>230</v>
      </c>
      <c r="B41" s="6" t="s">
        <v>43</v>
      </c>
      <c r="C41" s="6" t="s">
        <v>231</v>
      </c>
      <c r="D41" s="6" t="s">
        <v>24</v>
      </c>
      <c r="E41" s="6" t="s">
        <v>25</v>
      </c>
      <c r="F41" s="6" t="s">
        <v>232</v>
      </c>
      <c r="G41" s="6" t="s">
        <v>165</v>
      </c>
      <c r="H41" s="6" t="s">
        <v>174</v>
      </c>
      <c r="I41" s="6" t="s">
        <v>159</v>
      </c>
      <c r="J41" s="6" t="s">
        <v>113</v>
      </c>
    </row>
    <row r="42" ht="15.75" customHeight="1">
      <c r="A42" s="6" t="s">
        <v>233</v>
      </c>
      <c r="B42" s="6" t="s">
        <v>43</v>
      </c>
      <c r="C42" s="6" t="s">
        <v>204</v>
      </c>
      <c r="D42" s="6" t="s">
        <v>45</v>
      </c>
      <c r="E42" s="6" t="s">
        <v>25</v>
      </c>
      <c r="F42" s="6" t="s">
        <v>234</v>
      </c>
      <c r="G42" s="6" t="s">
        <v>151</v>
      </c>
      <c r="H42" s="6" t="s">
        <v>174</v>
      </c>
      <c r="I42" s="6" t="s">
        <v>219</v>
      </c>
      <c r="J42" s="6" t="s">
        <v>113</v>
      </c>
    </row>
    <row r="43" ht="15.75" customHeight="1">
      <c r="A43" s="6" t="s">
        <v>235</v>
      </c>
      <c r="B43" s="6" t="s">
        <v>20</v>
      </c>
      <c r="C43" s="6" t="s">
        <v>236</v>
      </c>
      <c r="D43" s="6" t="s">
        <v>24</v>
      </c>
      <c r="E43" s="6" t="s">
        <v>25</v>
      </c>
      <c r="F43" s="6" t="s">
        <v>121</v>
      </c>
      <c r="G43" s="6" t="s">
        <v>107</v>
      </c>
      <c r="H43" s="6" t="s">
        <v>237</v>
      </c>
      <c r="I43" s="6" t="s">
        <v>238</v>
      </c>
      <c r="J43" s="6" t="s">
        <v>33</v>
      </c>
    </row>
    <row r="44" ht="15.75" customHeight="1">
      <c r="A44" s="6" t="s">
        <v>184</v>
      </c>
      <c r="B44" s="6" t="s">
        <v>20</v>
      </c>
      <c r="C44" s="6" t="s">
        <v>239</v>
      </c>
      <c r="D44" s="6" t="s">
        <v>45</v>
      </c>
      <c r="E44" s="6" t="s">
        <v>25</v>
      </c>
      <c r="F44" s="6" t="s">
        <v>240</v>
      </c>
      <c r="G44" s="6" t="s">
        <v>117</v>
      </c>
      <c r="H44" s="6" t="s">
        <v>237</v>
      </c>
      <c r="I44" s="6" t="s">
        <v>229</v>
      </c>
      <c r="J44" s="6" t="s">
        <v>33</v>
      </c>
    </row>
    <row r="45" ht="15.75" customHeight="1">
      <c r="A45" s="6" t="s">
        <v>241</v>
      </c>
      <c r="B45" s="6" t="s">
        <v>20</v>
      </c>
      <c r="C45" s="6" t="s">
        <v>242</v>
      </c>
      <c r="D45" s="6" t="s">
        <v>57</v>
      </c>
      <c r="E45" s="6" t="s">
        <v>25</v>
      </c>
      <c r="F45" s="6" t="s">
        <v>243</v>
      </c>
      <c r="G45" s="6" t="s">
        <v>117</v>
      </c>
      <c r="H45" s="6" t="s">
        <v>237</v>
      </c>
      <c r="I45" s="6" t="s">
        <v>244</v>
      </c>
      <c r="J45" s="6" t="s">
        <v>33</v>
      </c>
    </row>
    <row r="46" ht="15.75" customHeight="1">
      <c r="A46" s="6" t="s">
        <v>245</v>
      </c>
      <c r="B46" s="6" t="s">
        <v>20</v>
      </c>
      <c r="C46" s="6" t="s">
        <v>246</v>
      </c>
      <c r="D46" s="6" t="s">
        <v>45</v>
      </c>
      <c r="E46" s="6" t="s">
        <v>133</v>
      </c>
      <c r="F46" s="6" t="s">
        <v>247</v>
      </c>
      <c r="G46" s="6" t="s">
        <v>81</v>
      </c>
      <c r="H46" s="6" t="s">
        <v>237</v>
      </c>
      <c r="I46" s="6" t="s">
        <v>248</v>
      </c>
      <c r="J46" s="6" t="s">
        <v>33</v>
      </c>
    </row>
    <row r="47" ht="15.75" customHeight="1">
      <c r="A47" s="6" t="s">
        <v>229</v>
      </c>
      <c r="B47" s="6" t="s">
        <v>43</v>
      </c>
      <c r="C47" s="6" t="s">
        <v>249</v>
      </c>
      <c r="D47" s="6" t="s">
        <v>24</v>
      </c>
      <c r="E47" s="6" t="s">
        <v>25</v>
      </c>
      <c r="F47" s="6" t="s">
        <v>250</v>
      </c>
      <c r="G47" s="6" t="s">
        <v>98</v>
      </c>
      <c r="H47" s="6" t="s">
        <v>237</v>
      </c>
      <c r="I47" s="6" t="s">
        <v>251</v>
      </c>
      <c r="J47" s="6" t="s">
        <v>33</v>
      </c>
    </row>
    <row r="48" ht="15.75" customHeight="1">
      <c r="A48" s="6" t="s">
        <v>252</v>
      </c>
      <c r="B48" s="6" t="s">
        <v>43</v>
      </c>
      <c r="C48" s="6" t="s">
        <v>253</v>
      </c>
      <c r="D48" s="6" t="s">
        <v>45</v>
      </c>
      <c r="E48" s="6" t="s">
        <v>25</v>
      </c>
      <c r="F48" s="6" t="s">
        <v>215</v>
      </c>
      <c r="G48" s="6" t="s">
        <v>107</v>
      </c>
      <c r="H48" s="6" t="s">
        <v>237</v>
      </c>
      <c r="I48" s="6" t="s">
        <v>254</v>
      </c>
      <c r="J48" s="6" t="s">
        <v>33</v>
      </c>
    </row>
    <row r="49" ht="15.75" customHeight="1">
      <c r="A49" s="6" t="s">
        <v>138</v>
      </c>
      <c r="B49" s="6" t="s">
        <v>20</v>
      </c>
      <c r="C49" s="6" t="s">
        <v>255</v>
      </c>
      <c r="D49" s="6" t="s">
        <v>45</v>
      </c>
      <c r="E49" s="6" t="s">
        <v>133</v>
      </c>
      <c r="F49" s="6" t="s">
        <v>247</v>
      </c>
      <c r="G49" s="6" t="s">
        <v>256</v>
      </c>
      <c r="H49" s="6" t="s">
        <v>257</v>
      </c>
      <c r="I49" s="6" t="s">
        <v>258</v>
      </c>
      <c r="J49" s="6" t="s">
        <v>33</v>
      </c>
    </row>
    <row r="50" ht="15.75" customHeight="1">
      <c r="A50" s="6" t="s">
        <v>226</v>
      </c>
      <c r="B50" s="6" t="s">
        <v>20</v>
      </c>
      <c r="C50" s="6" t="s">
        <v>259</v>
      </c>
      <c r="D50" s="6" t="s">
        <v>24</v>
      </c>
      <c r="E50" s="6" t="s">
        <v>25</v>
      </c>
      <c r="F50" s="6" t="s">
        <v>260</v>
      </c>
      <c r="G50" s="6" t="s">
        <v>107</v>
      </c>
      <c r="H50" s="6" t="s">
        <v>257</v>
      </c>
      <c r="I50" s="6" t="s">
        <v>261</v>
      </c>
      <c r="J50" s="6" t="s">
        <v>33</v>
      </c>
    </row>
    <row r="51" ht="15.75" customHeight="1">
      <c r="A51" s="6" t="s">
        <v>244</v>
      </c>
      <c r="B51" s="6" t="s">
        <v>20</v>
      </c>
      <c r="C51" s="6" t="s">
        <v>262</v>
      </c>
      <c r="D51" s="6" t="s">
        <v>38</v>
      </c>
      <c r="E51" s="6" t="s">
        <v>26</v>
      </c>
      <c r="F51" s="6" t="s">
        <v>263</v>
      </c>
      <c r="G51" s="6" t="s">
        <v>264</v>
      </c>
      <c r="H51" s="6" t="s">
        <v>257</v>
      </c>
      <c r="I51" s="6" t="s">
        <v>265</v>
      </c>
      <c r="J51" s="6" t="s">
        <v>33</v>
      </c>
    </row>
    <row r="52" ht="15.75" customHeight="1">
      <c r="A52" s="6" t="s">
        <v>266</v>
      </c>
      <c r="B52" s="6" t="s">
        <v>20</v>
      </c>
      <c r="C52" s="6" t="s">
        <v>267</v>
      </c>
      <c r="D52" s="6" t="s">
        <v>45</v>
      </c>
      <c r="E52" s="6" t="s">
        <v>25</v>
      </c>
      <c r="F52" s="6" t="s">
        <v>268</v>
      </c>
      <c r="G52" s="6" t="s">
        <v>132</v>
      </c>
      <c r="H52" s="6" t="s">
        <v>257</v>
      </c>
      <c r="I52" s="6" t="s">
        <v>138</v>
      </c>
      <c r="J52" s="6" t="s">
        <v>33</v>
      </c>
    </row>
    <row r="53" ht="15.75" customHeight="1">
      <c r="A53" s="6" t="s">
        <v>219</v>
      </c>
      <c r="B53" s="6" t="s">
        <v>20</v>
      </c>
      <c r="C53" s="6" t="s">
        <v>269</v>
      </c>
      <c r="D53" s="6" t="s">
        <v>24</v>
      </c>
      <c r="E53" s="6" t="s">
        <v>25</v>
      </c>
      <c r="F53" s="6" t="s">
        <v>270</v>
      </c>
      <c r="G53" s="6" t="s">
        <v>132</v>
      </c>
      <c r="H53" s="6" t="s">
        <v>257</v>
      </c>
      <c r="I53" s="6" t="s">
        <v>230</v>
      </c>
      <c r="J53" s="6" t="s">
        <v>33</v>
      </c>
    </row>
    <row r="54" ht="15.75" customHeight="1">
      <c r="A54" s="6" t="s">
        <v>271</v>
      </c>
      <c r="B54" s="6" t="s">
        <v>20</v>
      </c>
      <c r="C54" s="6" t="s">
        <v>272</v>
      </c>
      <c r="D54" s="6" t="s">
        <v>273</v>
      </c>
      <c r="E54" s="6" t="s">
        <v>26</v>
      </c>
      <c r="F54" s="6" t="s">
        <v>274</v>
      </c>
      <c r="G54" s="6" t="s">
        <v>150</v>
      </c>
      <c r="H54" s="6" t="s">
        <v>257</v>
      </c>
      <c r="I54" s="6" t="s">
        <v>275</v>
      </c>
      <c r="J54" s="6" t="s">
        <v>33</v>
      </c>
    </row>
    <row r="55" ht="15.75" customHeight="1">
      <c r="A55" s="6" t="s">
        <v>193</v>
      </c>
      <c r="B55" s="6" t="s">
        <v>20</v>
      </c>
      <c r="C55" s="6" t="s">
        <v>276</v>
      </c>
      <c r="D55" s="6" t="s">
        <v>45</v>
      </c>
      <c r="E55" s="6" t="s">
        <v>25</v>
      </c>
      <c r="F55" s="6" t="s">
        <v>277</v>
      </c>
      <c r="G55" s="6" t="s">
        <v>81</v>
      </c>
      <c r="H55" s="6" t="s">
        <v>257</v>
      </c>
      <c r="I55" s="6" t="s">
        <v>278</v>
      </c>
      <c r="J55" s="6" t="s">
        <v>33</v>
      </c>
    </row>
    <row r="56" ht="15.75" customHeight="1">
      <c r="A56" s="6" t="s">
        <v>279</v>
      </c>
      <c r="B56" s="6" t="s">
        <v>20</v>
      </c>
      <c r="C56" s="6" t="s">
        <v>280</v>
      </c>
      <c r="D56" s="6" t="s">
        <v>45</v>
      </c>
      <c r="E56" s="6" t="s">
        <v>25</v>
      </c>
      <c r="F56" s="6" t="s">
        <v>30</v>
      </c>
      <c r="G56" s="6" t="s">
        <v>132</v>
      </c>
      <c r="H56" s="6" t="s">
        <v>257</v>
      </c>
      <c r="I56" s="6" t="s">
        <v>201</v>
      </c>
      <c r="J56" s="6" t="s">
        <v>33</v>
      </c>
    </row>
    <row r="57" ht="15.75" customHeight="1">
      <c r="A57" s="6" t="s">
        <v>275</v>
      </c>
      <c r="B57" s="6" t="s">
        <v>20</v>
      </c>
      <c r="C57" s="6" t="s">
        <v>281</v>
      </c>
      <c r="D57" s="6" t="s">
        <v>24</v>
      </c>
      <c r="E57" s="6" t="s">
        <v>25</v>
      </c>
      <c r="F57" s="6" t="s">
        <v>282</v>
      </c>
      <c r="G57" s="6" t="s">
        <v>81</v>
      </c>
      <c r="H57" s="6" t="s">
        <v>257</v>
      </c>
      <c r="I57" s="6" t="s">
        <v>70</v>
      </c>
      <c r="J57" s="6" t="s">
        <v>33</v>
      </c>
    </row>
    <row r="58" ht="15.75" customHeight="1">
      <c r="A58" s="6" t="s">
        <v>283</v>
      </c>
      <c r="B58" s="6" t="s">
        <v>20</v>
      </c>
      <c r="C58" s="6" t="s">
        <v>285</v>
      </c>
      <c r="D58" s="6" t="s">
        <v>24</v>
      </c>
      <c r="E58" s="6" t="s">
        <v>25</v>
      </c>
      <c r="F58" s="6" t="s">
        <v>286</v>
      </c>
      <c r="G58" s="6" t="s">
        <v>287</v>
      </c>
      <c r="H58" s="6" t="s">
        <v>257</v>
      </c>
      <c r="I58" s="6" t="s">
        <v>288</v>
      </c>
      <c r="J58" s="6" t="s">
        <v>33</v>
      </c>
    </row>
    <row r="59" ht="15.75" customHeight="1">
      <c r="A59" s="6" t="s">
        <v>289</v>
      </c>
      <c r="B59" s="6" t="s">
        <v>43</v>
      </c>
      <c r="C59" s="6" t="s">
        <v>290</v>
      </c>
      <c r="D59" s="6" t="s">
        <v>24</v>
      </c>
      <c r="E59" s="6" t="s">
        <v>25</v>
      </c>
      <c r="F59" s="6" t="s">
        <v>291</v>
      </c>
      <c r="G59" s="6" t="s">
        <v>81</v>
      </c>
      <c r="H59" s="6" t="s">
        <v>257</v>
      </c>
      <c r="I59" s="6" t="s">
        <v>42</v>
      </c>
      <c r="J59" s="6" t="s">
        <v>33</v>
      </c>
    </row>
    <row r="60" ht="15.75" customHeight="1">
      <c r="A60" s="6" t="s">
        <v>265</v>
      </c>
      <c r="B60" s="6" t="s">
        <v>20</v>
      </c>
      <c r="C60" s="6" t="s">
        <v>292</v>
      </c>
      <c r="D60" s="6" t="s">
        <v>24</v>
      </c>
      <c r="E60" s="6" t="s">
        <v>25</v>
      </c>
      <c r="F60" s="6" t="s">
        <v>293</v>
      </c>
      <c r="G60" s="6" t="s">
        <v>117</v>
      </c>
      <c r="H60" s="6" t="s">
        <v>257</v>
      </c>
      <c r="I60" s="6" t="s">
        <v>41</v>
      </c>
      <c r="J60" s="6" t="s">
        <v>113</v>
      </c>
    </row>
    <row r="61" ht="15.75" customHeight="1">
      <c r="A61" s="6" t="s">
        <v>294</v>
      </c>
      <c r="B61" s="6" t="s">
        <v>20</v>
      </c>
      <c r="C61" s="6" t="s">
        <v>295</v>
      </c>
      <c r="D61" s="6" t="s">
        <v>45</v>
      </c>
      <c r="E61" s="6" t="s">
        <v>25</v>
      </c>
      <c r="F61" s="6" t="s">
        <v>296</v>
      </c>
      <c r="G61" s="6" t="s">
        <v>132</v>
      </c>
      <c r="H61" s="6" t="s">
        <v>257</v>
      </c>
      <c r="I61" s="6" t="s">
        <v>297</v>
      </c>
      <c r="J61" s="6" t="s">
        <v>113</v>
      </c>
    </row>
    <row r="62" ht="15.75" customHeight="1">
      <c r="A62" s="6" t="s">
        <v>298</v>
      </c>
      <c r="B62" s="6" t="s">
        <v>20</v>
      </c>
      <c r="C62" s="6" t="s">
        <v>299</v>
      </c>
      <c r="D62" s="6" t="s">
        <v>57</v>
      </c>
      <c r="E62" s="6" t="s">
        <v>25</v>
      </c>
      <c r="F62" s="6" t="s">
        <v>300</v>
      </c>
      <c r="G62" s="6" t="s">
        <v>93</v>
      </c>
      <c r="H62" s="6" t="s">
        <v>257</v>
      </c>
      <c r="I62" s="6" t="s">
        <v>41</v>
      </c>
      <c r="J62" s="6" t="s">
        <v>113</v>
      </c>
    </row>
    <row r="63" ht="15.75" customHeight="1">
      <c r="A63" s="6" t="s">
        <v>301</v>
      </c>
      <c r="B63" s="6" t="s">
        <v>20</v>
      </c>
      <c r="C63" s="6" t="s">
        <v>136</v>
      </c>
      <c r="D63" s="6" t="s">
        <v>38</v>
      </c>
      <c r="E63" s="6" t="s">
        <v>26</v>
      </c>
      <c r="F63" s="6" t="s">
        <v>302</v>
      </c>
      <c r="G63" s="6" t="s">
        <v>157</v>
      </c>
      <c r="H63" s="6" t="s">
        <v>261</v>
      </c>
      <c r="I63" s="6" t="s">
        <v>155</v>
      </c>
      <c r="J63" s="6" t="s">
        <v>33</v>
      </c>
    </row>
    <row r="64" ht="15.75" customHeight="1">
      <c r="A64" s="6" t="s">
        <v>303</v>
      </c>
      <c r="B64" s="6" t="s">
        <v>20</v>
      </c>
      <c r="C64" s="6" t="s">
        <v>304</v>
      </c>
      <c r="D64" s="6" t="s">
        <v>213</v>
      </c>
      <c r="E64" s="6" t="s">
        <v>26</v>
      </c>
      <c r="F64" s="6" t="s">
        <v>305</v>
      </c>
      <c r="G64" s="6" t="s">
        <v>150</v>
      </c>
      <c r="H64" s="6" t="s">
        <v>261</v>
      </c>
      <c r="I64" s="6" t="s">
        <v>198</v>
      </c>
      <c r="J64" s="6" t="s">
        <v>33</v>
      </c>
    </row>
    <row r="65" ht="15.75" customHeight="1">
      <c r="A65" s="6" t="s">
        <v>306</v>
      </c>
      <c r="B65" s="6" t="s">
        <v>20</v>
      </c>
      <c r="C65" s="6" t="s">
        <v>307</v>
      </c>
      <c r="D65" s="6" t="s">
        <v>38</v>
      </c>
      <c r="E65" s="6" t="s">
        <v>26</v>
      </c>
      <c r="F65" s="6" t="s">
        <v>308</v>
      </c>
      <c r="G65" s="6" t="s">
        <v>75</v>
      </c>
      <c r="H65" s="6" t="s">
        <v>261</v>
      </c>
      <c r="I65" s="6" t="s">
        <v>138</v>
      </c>
      <c r="J65" s="6" t="s">
        <v>33</v>
      </c>
    </row>
    <row r="66" ht="15.75" customHeight="1">
      <c r="A66" s="6" t="s">
        <v>309</v>
      </c>
      <c r="B66" s="6" t="s">
        <v>20</v>
      </c>
      <c r="C66" s="6" t="s">
        <v>310</v>
      </c>
      <c r="D66" s="6" t="s">
        <v>57</v>
      </c>
      <c r="E66" s="6" t="s">
        <v>25</v>
      </c>
      <c r="F66" s="6" t="s">
        <v>60</v>
      </c>
      <c r="G66" s="6" t="s">
        <v>311</v>
      </c>
      <c r="H66" s="6" t="s">
        <v>261</v>
      </c>
      <c r="I66" s="6" t="s">
        <v>233</v>
      </c>
      <c r="J66" s="6" t="s">
        <v>33</v>
      </c>
    </row>
    <row r="67" ht="15.75" customHeight="1">
      <c r="A67" s="6" t="s">
        <v>128</v>
      </c>
      <c r="B67" s="6" t="s">
        <v>20</v>
      </c>
      <c r="C67" s="6" t="s">
        <v>312</v>
      </c>
      <c r="D67" s="6" t="s">
        <v>178</v>
      </c>
      <c r="E67" s="6" t="s">
        <v>26</v>
      </c>
      <c r="F67" s="6" t="s">
        <v>313</v>
      </c>
      <c r="G67" s="6" t="s">
        <v>215</v>
      </c>
      <c r="H67" s="6" t="s">
        <v>261</v>
      </c>
      <c r="I67" s="6" t="s">
        <v>86</v>
      </c>
      <c r="J67" s="6" t="s">
        <v>33</v>
      </c>
    </row>
    <row r="68" ht="15.75" customHeight="1">
      <c r="A68" s="6" t="s">
        <v>83</v>
      </c>
      <c r="B68" s="6" t="s">
        <v>20</v>
      </c>
      <c r="C68" s="6" t="s">
        <v>314</v>
      </c>
      <c r="D68" s="6" t="s">
        <v>38</v>
      </c>
      <c r="E68" s="6" t="s">
        <v>26</v>
      </c>
      <c r="F68" s="6" t="s">
        <v>137</v>
      </c>
      <c r="G68" s="6" t="s">
        <v>315</v>
      </c>
      <c r="H68" s="6" t="s">
        <v>261</v>
      </c>
      <c r="I68" s="6" t="s">
        <v>211</v>
      </c>
      <c r="J68" s="6" t="s">
        <v>33</v>
      </c>
    </row>
    <row r="69" ht="15.75" customHeight="1">
      <c r="A69" s="6" t="s">
        <v>206</v>
      </c>
      <c r="B69" s="6" t="s">
        <v>20</v>
      </c>
      <c r="C69" s="6" t="s">
        <v>316</v>
      </c>
      <c r="D69" s="6" t="s">
        <v>38</v>
      </c>
      <c r="E69" s="6" t="s">
        <v>26</v>
      </c>
      <c r="F69" s="6" t="s">
        <v>317</v>
      </c>
      <c r="G69" s="6" t="s">
        <v>318</v>
      </c>
      <c r="H69" s="6" t="s">
        <v>261</v>
      </c>
      <c r="I69" s="6" t="s">
        <v>41</v>
      </c>
      <c r="J69" s="6" t="s">
        <v>33</v>
      </c>
    </row>
    <row r="70" ht="15.75" customHeight="1">
      <c r="A70" s="6" t="s">
        <v>319</v>
      </c>
      <c r="B70" s="6" t="s">
        <v>20</v>
      </c>
      <c r="C70" s="6" t="s">
        <v>320</v>
      </c>
      <c r="D70" s="6" t="s">
        <v>38</v>
      </c>
      <c r="E70" s="6" t="s">
        <v>26</v>
      </c>
      <c r="F70" s="6" t="s">
        <v>321</v>
      </c>
      <c r="G70" s="6" t="s">
        <v>322</v>
      </c>
      <c r="H70" s="6" t="s">
        <v>261</v>
      </c>
      <c r="I70" s="6" t="s">
        <v>118</v>
      </c>
      <c r="J70" s="6" t="s">
        <v>33</v>
      </c>
    </row>
    <row r="71" ht="15.75" customHeight="1">
      <c r="A71" s="6" t="s">
        <v>143</v>
      </c>
      <c r="B71" s="6" t="s">
        <v>20</v>
      </c>
      <c r="C71" s="6" t="s">
        <v>323</v>
      </c>
      <c r="D71" s="6" t="s">
        <v>24</v>
      </c>
      <c r="E71" s="6" t="s">
        <v>25</v>
      </c>
      <c r="F71" s="6" t="s">
        <v>324</v>
      </c>
      <c r="G71" s="6" t="s">
        <v>325</v>
      </c>
      <c r="H71" s="6" t="s">
        <v>261</v>
      </c>
      <c r="I71" s="6" t="s">
        <v>176</v>
      </c>
      <c r="J71" s="6" t="s">
        <v>33</v>
      </c>
    </row>
    <row r="72" ht="15.75" customHeight="1">
      <c r="A72" s="6" t="s">
        <v>326</v>
      </c>
      <c r="B72" s="6" t="s">
        <v>20</v>
      </c>
      <c r="C72" s="6" t="s">
        <v>327</v>
      </c>
      <c r="D72" s="6" t="s">
        <v>213</v>
      </c>
      <c r="E72" s="6" t="s">
        <v>26</v>
      </c>
      <c r="F72" s="6" t="s">
        <v>328</v>
      </c>
      <c r="G72" s="6" t="s">
        <v>329</v>
      </c>
      <c r="H72" s="6" t="s">
        <v>261</v>
      </c>
      <c r="I72" s="6" t="s">
        <v>330</v>
      </c>
      <c r="J72" s="6" t="s">
        <v>33</v>
      </c>
    </row>
    <row r="73" ht="15.75" customHeight="1">
      <c r="A73" s="6" t="s">
        <v>331</v>
      </c>
      <c r="B73" s="6" t="s">
        <v>43</v>
      </c>
      <c r="C73" s="6" t="s">
        <v>332</v>
      </c>
      <c r="D73" s="6" t="s">
        <v>38</v>
      </c>
      <c r="E73" s="6" t="s">
        <v>25</v>
      </c>
      <c r="F73" s="6" t="s">
        <v>333</v>
      </c>
      <c r="G73" s="6" t="s">
        <v>334</v>
      </c>
      <c r="H73" s="6" t="s">
        <v>261</v>
      </c>
      <c r="I73" s="6" t="s">
        <v>104</v>
      </c>
      <c r="J73" s="6" t="s">
        <v>33</v>
      </c>
    </row>
    <row r="74" ht="15.75" customHeight="1">
      <c r="A74" s="6" t="s">
        <v>335</v>
      </c>
      <c r="B74" s="6" t="s">
        <v>43</v>
      </c>
      <c r="C74" s="6" t="s">
        <v>336</v>
      </c>
      <c r="D74" s="6" t="s">
        <v>45</v>
      </c>
      <c r="E74" s="6" t="s">
        <v>25</v>
      </c>
      <c r="F74" s="6" t="s">
        <v>291</v>
      </c>
      <c r="G74" s="6" t="s">
        <v>337</v>
      </c>
      <c r="H74" s="6" t="s">
        <v>261</v>
      </c>
      <c r="I74" s="6" t="s">
        <v>94</v>
      </c>
      <c r="J74" s="6" t="s">
        <v>33</v>
      </c>
    </row>
    <row r="75" ht="15.75" customHeight="1">
      <c r="A75" s="6" t="s">
        <v>338</v>
      </c>
      <c r="B75" s="6" t="s">
        <v>43</v>
      </c>
      <c r="C75" s="6" t="s">
        <v>339</v>
      </c>
      <c r="D75" s="6" t="s">
        <v>24</v>
      </c>
      <c r="E75" s="6" t="s">
        <v>25</v>
      </c>
      <c r="F75" s="6" t="s">
        <v>286</v>
      </c>
      <c r="G75" s="6" t="s">
        <v>340</v>
      </c>
      <c r="H75" s="6" t="s">
        <v>261</v>
      </c>
      <c r="I75" s="6" t="s">
        <v>341</v>
      </c>
      <c r="J75" s="6" t="s">
        <v>33</v>
      </c>
    </row>
    <row r="76" ht="15.75" customHeight="1">
      <c r="A76" s="6" t="s">
        <v>162</v>
      </c>
      <c r="B76" s="6" t="s">
        <v>43</v>
      </c>
      <c r="C76" s="6" t="s">
        <v>342</v>
      </c>
      <c r="D76" s="6" t="s">
        <v>24</v>
      </c>
      <c r="E76" s="6" t="s">
        <v>25</v>
      </c>
      <c r="F76" s="6" t="s">
        <v>343</v>
      </c>
      <c r="G76" s="6" t="s">
        <v>151</v>
      </c>
      <c r="H76" s="6" t="s">
        <v>261</v>
      </c>
      <c r="I76" s="6" t="s">
        <v>94</v>
      </c>
      <c r="J76" s="6" t="s">
        <v>33</v>
      </c>
    </row>
    <row r="77" ht="15.75" customHeight="1">
      <c r="A77" s="6" t="s">
        <v>344</v>
      </c>
      <c r="B77" s="6" t="s">
        <v>43</v>
      </c>
      <c r="C77" s="6" t="s">
        <v>346</v>
      </c>
      <c r="D77" s="6" t="s">
        <v>24</v>
      </c>
      <c r="E77" s="6" t="s">
        <v>25</v>
      </c>
      <c r="F77" s="6" t="s">
        <v>243</v>
      </c>
      <c r="G77" s="6" t="s">
        <v>151</v>
      </c>
      <c r="H77" s="6" t="s">
        <v>261</v>
      </c>
      <c r="I77" s="6" t="s">
        <v>104</v>
      </c>
      <c r="J77" s="6" t="s">
        <v>33</v>
      </c>
    </row>
    <row r="78" ht="15.75" customHeight="1">
      <c r="A78" s="6" t="s">
        <v>347</v>
      </c>
      <c r="B78" s="6" t="s">
        <v>43</v>
      </c>
      <c r="C78" s="6" t="s">
        <v>348</v>
      </c>
      <c r="D78" s="6" t="s">
        <v>45</v>
      </c>
      <c r="E78" s="6" t="s">
        <v>25</v>
      </c>
      <c r="F78" s="6" t="s">
        <v>349</v>
      </c>
      <c r="G78" s="6" t="s">
        <v>350</v>
      </c>
      <c r="H78" s="6" t="s">
        <v>261</v>
      </c>
      <c r="I78" s="6" t="s">
        <v>78</v>
      </c>
      <c r="J78" s="6" t="s">
        <v>33</v>
      </c>
    </row>
    <row r="79" ht="15.75" customHeight="1">
      <c r="A79" s="6" t="s">
        <v>288</v>
      </c>
      <c r="B79" s="6" t="s">
        <v>43</v>
      </c>
      <c r="C79" s="6" t="s">
        <v>351</v>
      </c>
      <c r="D79" s="6" t="s">
        <v>45</v>
      </c>
      <c r="E79" s="6" t="s">
        <v>25</v>
      </c>
      <c r="F79" s="6" t="s">
        <v>352</v>
      </c>
      <c r="G79" s="6" t="s">
        <v>337</v>
      </c>
      <c r="H79" s="6" t="s">
        <v>261</v>
      </c>
      <c r="I79" s="6" t="s">
        <v>100</v>
      </c>
      <c r="J79" s="6" t="s">
        <v>33</v>
      </c>
    </row>
    <row r="80" ht="15.75" customHeight="1">
      <c r="A80" s="6" t="s">
        <v>353</v>
      </c>
      <c r="B80" s="6" t="s">
        <v>43</v>
      </c>
      <c r="C80" s="6" t="s">
        <v>354</v>
      </c>
      <c r="D80" s="6" t="s">
        <v>38</v>
      </c>
      <c r="E80" s="6" t="s">
        <v>25</v>
      </c>
      <c r="F80" s="6" t="s">
        <v>260</v>
      </c>
      <c r="G80" s="6" t="s">
        <v>311</v>
      </c>
      <c r="H80" s="6" t="s">
        <v>261</v>
      </c>
      <c r="I80" s="6" t="s">
        <v>91</v>
      </c>
      <c r="J80" s="6" t="s">
        <v>33</v>
      </c>
    </row>
    <row r="81" ht="15.75" customHeight="1">
      <c r="A81" s="6" t="s">
        <v>355</v>
      </c>
      <c r="B81" s="6" t="s">
        <v>43</v>
      </c>
      <c r="C81" s="6" t="s">
        <v>356</v>
      </c>
      <c r="D81" s="6" t="s">
        <v>38</v>
      </c>
      <c r="E81" s="6" t="s">
        <v>25</v>
      </c>
      <c r="F81" s="6" t="s">
        <v>357</v>
      </c>
      <c r="G81" s="6" t="s">
        <v>334</v>
      </c>
      <c r="H81" s="6" t="s">
        <v>261</v>
      </c>
      <c r="I81" s="6" t="s">
        <v>155</v>
      </c>
      <c r="J81" s="6" t="s">
        <v>33</v>
      </c>
    </row>
    <row r="82" ht="15.75" customHeight="1">
      <c r="A82" s="6" t="s">
        <v>358</v>
      </c>
      <c r="B82" s="6" t="s">
        <v>43</v>
      </c>
      <c r="C82" s="6" t="s">
        <v>359</v>
      </c>
      <c r="D82" s="6" t="s">
        <v>45</v>
      </c>
      <c r="E82" s="6" t="s">
        <v>25</v>
      </c>
      <c r="F82" s="6" t="s">
        <v>360</v>
      </c>
      <c r="G82" s="6" t="s">
        <v>361</v>
      </c>
      <c r="H82" s="6" t="s">
        <v>261</v>
      </c>
      <c r="I82" s="6" t="s">
        <v>70</v>
      </c>
      <c r="J82" s="6" t="s">
        <v>33</v>
      </c>
    </row>
    <row r="83" ht="15.75" customHeight="1">
      <c r="A83" s="6" t="s">
        <v>362</v>
      </c>
      <c r="B83" s="6" t="s">
        <v>43</v>
      </c>
      <c r="C83" s="6" t="s">
        <v>363</v>
      </c>
      <c r="D83" s="6" t="s">
        <v>45</v>
      </c>
      <c r="E83" s="6" t="s">
        <v>25</v>
      </c>
      <c r="F83" s="6" t="s">
        <v>364</v>
      </c>
      <c r="G83" s="6" t="s">
        <v>117</v>
      </c>
      <c r="H83" s="6" t="s">
        <v>261</v>
      </c>
      <c r="I83" s="6" t="s">
        <v>365</v>
      </c>
      <c r="J83" s="6" t="s">
        <v>113</v>
      </c>
    </row>
    <row r="84" ht="15.75" customHeight="1">
      <c r="A84" s="6" t="s">
        <v>197</v>
      </c>
      <c r="B84" s="6" t="s">
        <v>43</v>
      </c>
      <c r="C84" s="6" t="s">
        <v>366</v>
      </c>
      <c r="D84" s="6" t="s">
        <v>45</v>
      </c>
      <c r="E84" s="6" t="s">
        <v>25</v>
      </c>
      <c r="F84" s="6" t="s">
        <v>352</v>
      </c>
      <c r="G84" s="6" t="s">
        <v>218</v>
      </c>
      <c r="H84" s="6" t="s">
        <v>261</v>
      </c>
      <c r="I84" s="6" t="s">
        <v>94</v>
      </c>
      <c r="J84" s="6" t="s">
        <v>113</v>
      </c>
    </row>
    <row r="85" ht="15.75" customHeight="1">
      <c r="A85" s="6" t="s">
        <v>367</v>
      </c>
      <c r="B85" s="6" t="s">
        <v>43</v>
      </c>
      <c r="C85" s="6" t="s">
        <v>368</v>
      </c>
      <c r="D85" s="6" t="s">
        <v>57</v>
      </c>
      <c r="E85" s="6" t="s">
        <v>25</v>
      </c>
      <c r="F85" s="6" t="s">
        <v>277</v>
      </c>
      <c r="G85" s="6" t="s">
        <v>361</v>
      </c>
      <c r="H85" s="6" t="s">
        <v>261</v>
      </c>
      <c r="I85" s="6" t="s">
        <v>91</v>
      </c>
      <c r="J85" s="6" t="s">
        <v>113</v>
      </c>
    </row>
    <row r="86" ht="15.75" customHeight="1">
      <c r="A86" s="6" t="s">
        <v>369</v>
      </c>
      <c r="B86" s="6" t="s">
        <v>20</v>
      </c>
      <c r="C86" s="6" t="s">
        <v>370</v>
      </c>
      <c r="D86" s="6" t="s">
        <v>24</v>
      </c>
      <c r="E86" s="6" t="s">
        <v>25</v>
      </c>
      <c r="F86" s="6" t="s">
        <v>371</v>
      </c>
      <c r="G86" s="6" t="s">
        <v>372</v>
      </c>
      <c r="H86" s="6" t="s">
        <v>373</v>
      </c>
      <c r="I86" s="6" t="s">
        <v>235</v>
      </c>
      <c r="J86" s="6" t="s">
        <v>33</v>
      </c>
    </row>
    <row r="87" ht="15.75" customHeight="1">
      <c r="A87" s="6" t="s">
        <v>374</v>
      </c>
      <c r="B87" s="6" t="s">
        <v>20</v>
      </c>
      <c r="C87" s="6" t="s">
        <v>375</v>
      </c>
      <c r="D87" s="6" t="s">
        <v>24</v>
      </c>
      <c r="E87" s="6" t="s">
        <v>25</v>
      </c>
      <c r="F87" s="6" t="s">
        <v>376</v>
      </c>
      <c r="G87" s="6" t="s">
        <v>287</v>
      </c>
      <c r="H87" s="6" t="s">
        <v>373</v>
      </c>
      <c r="I87" s="6" t="s">
        <v>306</v>
      </c>
      <c r="J87" s="6" t="s">
        <v>33</v>
      </c>
    </row>
    <row r="88" ht="15.75" customHeight="1">
      <c r="A88" s="6" t="s">
        <v>377</v>
      </c>
      <c r="B88" s="6" t="s">
        <v>20</v>
      </c>
      <c r="C88" s="6" t="s">
        <v>378</v>
      </c>
      <c r="D88" s="6" t="s">
        <v>45</v>
      </c>
      <c r="E88" s="6" t="s">
        <v>25</v>
      </c>
      <c r="F88" s="6" t="s">
        <v>343</v>
      </c>
      <c r="G88" s="6" t="s">
        <v>256</v>
      </c>
      <c r="H88" s="6" t="s">
        <v>373</v>
      </c>
      <c r="I88" s="6" t="s">
        <v>379</v>
      </c>
      <c r="J88" s="6" t="s">
        <v>33</v>
      </c>
    </row>
    <row r="89" ht="15.75" customHeight="1">
      <c r="A89" s="6" t="s">
        <v>380</v>
      </c>
      <c r="B89" s="6" t="s">
        <v>20</v>
      </c>
      <c r="C89" s="6" t="s">
        <v>381</v>
      </c>
      <c r="D89" s="6" t="s">
        <v>178</v>
      </c>
      <c r="E89" s="6" t="s">
        <v>26</v>
      </c>
      <c r="F89" s="6" t="s">
        <v>382</v>
      </c>
      <c r="G89" s="6" t="s">
        <v>383</v>
      </c>
      <c r="H89" s="6" t="s">
        <v>373</v>
      </c>
      <c r="I89" s="6" t="s">
        <v>100</v>
      </c>
      <c r="J89" s="6" t="s">
        <v>33</v>
      </c>
    </row>
    <row r="90" ht="15.75" customHeight="1">
      <c r="A90" s="6" t="s">
        <v>384</v>
      </c>
      <c r="B90" s="6" t="s">
        <v>20</v>
      </c>
      <c r="C90" s="6" t="s">
        <v>385</v>
      </c>
      <c r="D90" s="6" t="s">
        <v>178</v>
      </c>
      <c r="E90" s="6" t="s">
        <v>26</v>
      </c>
      <c r="F90" s="6" t="s">
        <v>386</v>
      </c>
      <c r="G90" s="6" t="s">
        <v>180</v>
      </c>
      <c r="H90" s="6" t="s">
        <v>373</v>
      </c>
      <c r="I90" s="6" t="s">
        <v>91</v>
      </c>
      <c r="J90" s="6" t="s">
        <v>33</v>
      </c>
    </row>
    <row r="91" ht="15.75" customHeight="1">
      <c r="A91" s="6" t="s">
        <v>238</v>
      </c>
      <c r="B91" s="6" t="s">
        <v>43</v>
      </c>
      <c r="C91" s="6" t="s">
        <v>387</v>
      </c>
      <c r="D91" s="6" t="s">
        <v>57</v>
      </c>
      <c r="E91" s="6" t="s">
        <v>25</v>
      </c>
      <c r="F91" s="6" t="s">
        <v>388</v>
      </c>
      <c r="G91" s="6" t="s">
        <v>93</v>
      </c>
      <c r="H91" s="6" t="s">
        <v>373</v>
      </c>
      <c r="I91" s="6" t="s">
        <v>94</v>
      </c>
      <c r="J91" s="6" t="s">
        <v>33</v>
      </c>
    </row>
    <row r="92" ht="15.75" customHeight="1">
      <c r="A92" s="6" t="s">
        <v>389</v>
      </c>
      <c r="B92" s="6" t="s">
        <v>43</v>
      </c>
      <c r="C92" s="6" t="s">
        <v>390</v>
      </c>
      <c r="D92" s="6" t="s">
        <v>45</v>
      </c>
      <c r="E92" s="6" t="s">
        <v>25</v>
      </c>
      <c r="F92" s="6" t="s">
        <v>391</v>
      </c>
      <c r="G92" s="6" t="s">
        <v>218</v>
      </c>
      <c r="H92" s="6" t="s">
        <v>373</v>
      </c>
      <c r="I92" s="6" t="s">
        <v>134</v>
      </c>
      <c r="J92" s="6" t="s">
        <v>33</v>
      </c>
    </row>
    <row r="93" ht="15.75" customHeight="1">
      <c r="A93" s="6" t="s">
        <v>373</v>
      </c>
      <c r="B93" s="6" t="s">
        <v>43</v>
      </c>
      <c r="C93" s="6" t="s">
        <v>392</v>
      </c>
      <c r="D93" s="6" t="s">
        <v>57</v>
      </c>
      <c r="E93" s="6" t="s">
        <v>25</v>
      </c>
      <c r="F93" s="6" t="s">
        <v>102</v>
      </c>
      <c r="G93" s="6" t="s">
        <v>361</v>
      </c>
      <c r="H93" s="6" t="s">
        <v>373</v>
      </c>
      <c r="I93" s="6" t="s">
        <v>78</v>
      </c>
      <c r="J93" s="6" t="s">
        <v>33</v>
      </c>
    </row>
    <row r="94" ht="15.75" customHeight="1">
      <c r="A94" s="6" t="s">
        <v>261</v>
      </c>
      <c r="B94" s="6" t="s">
        <v>43</v>
      </c>
      <c r="C94" s="6" t="s">
        <v>393</v>
      </c>
      <c r="D94" s="6" t="s">
        <v>45</v>
      </c>
      <c r="E94" s="6" t="s">
        <v>25</v>
      </c>
      <c r="F94" s="6" t="s">
        <v>371</v>
      </c>
      <c r="G94" s="6" t="s">
        <v>361</v>
      </c>
      <c r="H94" s="6" t="s">
        <v>373</v>
      </c>
      <c r="I94" s="6" t="s">
        <v>94</v>
      </c>
      <c r="J94" s="6" t="s">
        <v>33</v>
      </c>
    </row>
    <row r="95" ht="15.75" customHeight="1">
      <c r="A95" s="6" t="s">
        <v>257</v>
      </c>
      <c r="B95" s="6" t="s">
        <v>43</v>
      </c>
      <c r="C95" s="6" t="s">
        <v>394</v>
      </c>
      <c r="D95" s="6" t="s">
        <v>45</v>
      </c>
      <c r="E95" s="6" t="s">
        <v>25</v>
      </c>
      <c r="F95" s="6" t="s">
        <v>395</v>
      </c>
      <c r="G95" s="6" t="s">
        <v>396</v>
      </c>
      <c r="H95" s="6" t="s">
        <v>373</v>
      </c>
      <c r="I95" s="6" t="s">
        <v>241</v>
      </c>
      <c r="J95" s="6" t="s">
        <v>33</v>
      </c>
    </row>
    <row r="96" ht="15.75" customHeight="1">
      <c r="A96" s="6" t="s">
        <v>237</v>
      </c>
      <c r="B96" s="6" t="s">
        <v>43</v>
      </c>
      <c r="C96" s="6" t="s">
        <v>397</v>
      </c>
      <c r="D96" s="6" t="s">
        <v>45</v>
      </c>
      <c r="E96" s="6" t="s">
        <v>25</v>
      </c>
      <c r="F96" s="6" t="s">
        <v>398</v>
      </c>
      <c r="G96" s="6" t="s">
        <v>337</v>
      </c>
      <c r="H96" s="6" t="s">
        <v>373</v>
      </c>
      <c r="I96" s="6" t="s">
        <v>78</v>
      </c>
      <c r="J96" s="6" t="s">
        <v>33</v>
      </c>
    </row>
    <row r="97" ht="15.75" customHeight="1">
      <c r="A97" s="6" t="s">
        <v>174</v>
      </c>
      <c r="B97" s="6" t="s">
        <v>20</v>
      </c>
      <c r="C97" s="6" t="s">
        <v>399</v>
      </c>
      <c r="D97" s="6" t="s">
        <v>57</v>
      </c>
      <c r="E97" s="6" t="s">
        <v>133</v>
      </c>
      <c r="F97" s="6" t="s">
        <v>247</v>
      </c>
      <c r="G97" s="6" t="s">
        <v>132</v>
      </c>
      <c r="H97" s="6" t="s">
        <v>373</v>
      </c>
      <c r="I97" s="6" t="s">
        <v>400</v>
      </c>
      <c r="J97" s="6" t="s">
        <v>113</v>
      </c>
    </row>
    <row r="98" ht="15.75" customHeight="1">
      <c r="A98" s="6" t="s">
        <v>127</v>
      </c>
      <c r="B98" s="6" t="s">
        <v>20</v>
      </c>
      <c r="C98" s="6" t="s">
        <v>401</v>
      </c>
      <c r="D98" s="6" t="s">
        <v>213</v>
      </c>
      <c r="E98" s="6" t="s">
        <v>25</v>
      </c>
      <c r="F98" s="6" t="s">
        <v>39</v>
      </c>
      <c r="G98" s="6" t="s">
        <v>340</v>
      </c>
      <c r="H98" s="6" t="s">
        <v>373</v>
      </c>
      <c r="I98" s="6" t="s">
        <v>403</v>
      </c>
      <c r="J98" s="6" t="s">
        <v>113</v>
      </c>
    </row>
    <row r="99" ht="15.75" customHeight="1">
      <c r="A99" s="6" t="s">
        <v>31</v>
      </c>
      <c r="B99" s="6" t="s">
        <v>20</v>
      </c>
      <c r="C99" s="6" t="s">
        <v>404</v>
      </c>
      <c r="D99" s="6" t="s">
        <v>57</v>
      </c>
      <c r="E99" s="6" t="s">
        <v>133</v>
      </c>
      <c r="F99" s="6" t="s">
        <v>215</v>
      </c>
      <c r="G99" s="6" t="s">
        <v>132</v>
      </c>
      <c r="H99" s="6" t="s">
        <v>373</v>
      </c>
      <c r="I99" s="6" t="s">
        <v>32</v>
      </c>
      <c r="J99" s="6" t="s">
        <v>113</v>
      </c>
    </row>
    <row r="100" ht="15.75" customHeight="1">
      <c r="A100" s="6" t="s">
        <v>405</v>
      </c>
      <c r="B100" s="6" t="s">
        <v>43</v>
      </c>
      <c r="C100" s="6" t="s">
        <v>406</v>
      </c>
      <c r="D100" s="6" t="s">
        <v>45</v>
      </c>
      <c r="E100" s="6" t="s">
        <v>25</v>
      </c>
      <c r="F100" s="6" t="s">
        <v>407</v>
      </c>
      <c r="G100" s="6" t="s">
        <v>361</v>
      </c>
      <c r="H100" s="6" t="s">
        <v>373</v>
      </c>
      <c r="I100" s="6" t="s">
        <v>70</v>
      </c>
      <c r="J100" s="6" t="s">
        <v>113</v>
      </c>
    </row>
    <row r="101" ht="15.75" customHeight="1">
      <c r="A101" s="6" t="s">
        <v>408</v>
      </c>
      <c r="B101" s="6" t="s">
        <v>20</v>
      </c>
      <c r="C101" s="6" t="s">
        <v>409</v>
      </c>
      <c r="D101" s="6" t="s">
        <v>273</v>
      </c>
      <c r="E101" s="6" t="s">
        <v>26</v>
      </c>
      <c r="F101" s="6" t="s">
        <v>410</v>
      </c>
      <c r="G101" s="6" t="s">
        <v>180</v>
      </c>
      <c r="H101" s="6" t="s">
        <v>389</v>
      </c>
      <c r="I101" s="6" t="s">
        <v>252</v>
      </c>
      <c r="J101" s="6" t="s">
        <v>33</v>
      </c>
    </row>
    <row r="102" ht="15.75" customHeight="1">
      <c r="A102" s="6" t="s">
        <v>411</v>
      </c>
      <c r="B102" s="6" t="s">
        <v>20</v>
      </c>
      <c r="C102" s="6" t="s">
        <v>412</v>
      </c>
      <c r="D102" s="6" t="s">
        <v>38</v>
      </c>
      <c r="E102" s="6" t="s">
        <v>26</v>
      </c>
      <c r="F102" s="6" t="s">
        <v>413</v>
      </c>
      <c r="G102" s="6" t="s">
        <v>300</v>
      </c>
      <c r="H102" s="6" t="s">
        <v>389</v>
      </c>
      <c r="I102" s="6" t="s">
        <v>241</v>
      </c>
      <c r="J102" s="6" t="s">
        <v>33</v>
      </c>
    </row>
    <row r="103" ht="15.75" customHeight="1">
      <c r="A103" s="6" t="s">
        <v>297</v>
      </c>
      <c r="B103" s="6" t="s">
        <v>20</v>
      </c>
      <c r="C103" s="6" t="s">
        <v>414</v>
      </c>
      <c r="D103" s="6" t="s">
        <v>415</v>
      </c>
      <c r="E103" s="6" t="s">
        <v>25</v>
      </c>
      <c r="F103" s="6" t="s">
        <v>416</v>
      </c>
      <c r="G103" s="6" t="s">
        <v>287</v>
      </c>
      <c r="H103" s="6" t="s">
        <v>389</v>
      </c>
      <c r="I103" s="6" t="s">
        <v>265</v>
      </c>
      <c r="J103" s="6" t="s">
        <v>33</v>
      </c>
    </row>
    <row r="104" ht="15.75" customHeight="1">
      <c r="A104" s="6" t="s">
        <v>147</v>
      </c>
      <c r="B104" s="6" t="s">
        <v>20</v>
      </c>
      <c r="C104" s="6" t="s">
        <v>417</v>
      </c>
      <c r="D104" s="6" t="s">
        <v>178</v>
      </c>
      <c r="E104" s="6" t="s">
        <v>26</v>
      </c>
      <c r="F104" s="6" t="s">
        <v>418</v>
      </c>
      <c r="G104" s="6" t="s">
        <v>419</v>
      </c>
      <c r="H104" s="6" t="s">
        <v>389</v>
      </c>
      <c r="I104" s="6" t="s">
        <v>206</v>
      </c>
      <c r="J104" s="6" t="s">
        <v>33</v>
      </c>
    </row>
    <row r="105" ht="15.75" customHeight="1">
      <c r="A105" s="6" t="s">
        <v>420</v>
      </c>
      <c r="B105" s="6" t="s">
        <v>20</v>
      </c>
      <c r="C105" s="6" t="s">
        <v>421</v>
      </c>
      <c r="D105" s="6" t="s">
        <v>24</v>
      </c>
      <c r="E105" s="6" t="s">
        <v>25</v>
      </c>
      <c r="F105" s="6" t="s">
        <v>422</v>
      </c>
      <c r="G105" s="6" t="s">
        <v>287</v>
      </c>
      <c r="H105" s="6" t="s">
        <v>389</v>
      </c>
      <c r="I105" s="6" t="s">
        <v>138</v>
      </c>
      <c r="J105" s="6" t="s">
        <v>33</v>
      </c>
    </row>
    <row r="106" ht="15.75" customHeight="1">
      <c r="A106" s="6" t="s">
        <v>423</v>
      </c>
      <c r="B106" s="6" t="s">
        <v>20</v>
      </c>
      <c r="C106" s="6" t="s">
        <v>424</v>
      </c>
      <c r="D106" s="6" t="s">
        <v>24</v>
      </c>
      <c r="E106" s="6" t="s">
        <v>25</v>
      </c>
      <c r="F106" s="6" t="s">
        <v>376</v>
      </c>
      <c r="G106" s="6" t="s">
        <v>81</v>
      </c>
      <c r="H106" s="6" t="s">
        <v>389</v>
      </c>
      <c r="I106" s="6" t="s">
        <v>139</v>
      </c>
      <c r="J106" s="6" t="s">
        <v>33</v>
      </c>
    </row>
    <row r="107" ht="15.75" customHeight="1">
      <c r="A107" s="6" t="s">
        <v>425</v>
      </c>
      <c r="B107" s="6" t="s">
        <v>20</v>
      </c>
      <c r="C107" s="6" t="s">
        <v>426</v>
      </c>
      <c r="D107" s="6" t="s">
        <v>178</v>
      </c>
      <c r="E107" s="6" t="s">
        <v>26</v>
      </c>
      <c r="F107" s="6" t="s">
        <v>427</v>
      </c>
      <c r="G107" s="6" t="s">
        <v>428</v>
      </c>
      <c r="H107" s="6" t="s">
        <v>389</v>
      </c>
      <c r="I107" s="6" t="s">
        <v>159</v>
      </c>
      <c r="J107" s="6" t="s">
        <v>33</v>
      </c>
    </row>
    <row r="108" ht="15.75" customHeight="1">
      <c r="A108" s="6" t="s">
        <v>429</v>
      </c>
      <c r="B108" s="6" t="s">
        <v>43</v>
      </c>
      <c r="C108" s="6" t="s">
        <v>430</v>
      </c>
      <c r="D108" s="6" t="s">
        <v>45</v>
      </c>
      <c r="E108" s="6" t="s">
        <v>25</v>
      </c>
      <c r="F108" s="6" t="s">
        <v>431</v>
      </c>
      <c r="G108" s="6" t="s">
        <v>432</v>
      </c>
      <c r="H108" s="6" t="s">
        <v>389</v>
      </c>
      <c r="I108" s="6" t="s">
        <v>197</v>
      </c>
      <c r="J108" s="6" t="s">
        <v>33</v>
      </c>
    </row>
    <row r="109" ht="15.75" customHeight="1">
      <c r="A109" s="6" t="s">
        <v>433</v>
      </c>
      <c r="B109" s="6" t="s">
        <v>43</v>
      </c>
      <c r="C109" s="6" t="s">
        <v>434</v>
      </c>
      <c r="D109" s="6" t="s">
        <v>45</v>
      </c>
      <c r="E109" s="6" t="s">
        <v>25</v>
      </c>
      <c r="F109" s="6" t="s">
        <v>75</v>
      </c>
      <c r="G109" s="6" t="s">
        <v>151</v>
      </c>
      <c r="H109" s="6" t="s">
        <v>389</v>
      </c>
      <c r="I109" s="6" t="s">
        <v>433</v>
      </c>
      <c r="J109" s="6" t="s">
        <v>33</v>
      </c>
    </row>
    <row r="110" ht="15.75" customHeight="1">
      <c r="A110" s="6" t="s">
        <v>435</v>
      </c>
      <c r="B110" s="6" t="s">
        <v>20</v>
      </c>
      <c r="C110" s="6" t="s">
        <v>436</v>
      </c>
      <c r="D110" s="6" t="s">
        <v>45</v>
      </c>
      <c r="E110" s="6" t="s">
        <v>25</v>
      </c>
      <c r="F110" s="6" t="s">
        <v>437</v>
      </c>
      <c r="G110" s="6" t="s">
        <v>132</v>
      </c>
      <c r="H110" s="6" t="s">
        <v>389</v>
      </c>
      <c r="I110" s="6" t="s">
        <v>226</v>
      </c>
      <c r="J110" s="6" t="s">
        <v>113</v>
      </c>
    </row>
    <row r="111" ht="15.75" customHeight="1">
      <c r="A111" s="6" t="s">
        <v>438</v>
      </c>
      <c r="B111" s="6" t="s">
        <v>20</v>
      </c>
      <c r="C111" s="6" t="s">
        <v>439</v>
      </c>
      <c r="D111" s="6" t="s">
        <v>24</v>
      </c>
      <c r="E111" s="6" t="s">
        <v>25</v>
      </c>
      <c r="F111" s="6" t="s">
        <v>111</v>
      </c>
      <c r="G111" s="6" t="s">
        <v>334</v>
      </c>
      <c r="H111" s="6" t="s">
        <v>389</v>
      </c>
      <c r="I111" s="6" t="s">
        <v>440</v>
      </c>
      <c r="J111" s="6" t="s">
        <v>113</v>
      </c>
    </row>
    <row r="112" ht="15.75" customHeight="1">
      <c r="A112" s="6" t="s">
        <v>441</v>
      </c>
      <c r="B112" s="6" t="s">
        <v>20</v>
      </c>
      <c r="C112" s="6" t="s">
        <v>442</v>
      </c>
      <c r="D112" s="6" t="s">
        <v>45</v>
      </c>
      <c r="E112" s="6" t="s">
        <v>133</v>
      </c>
      <c r="F112" s="6" t="s">
        <v>247</v>
      </c>
      <c r="G112" s="6" t="s">
        <v>165</v>
      </c>
      <c r="H112" s="6" t="s">
        <v>389</v>
      </c>
      <c r="I112" s="6" t="s">
        <v>443</v>
      </c>
      <c r="J112" s="6" t="s">
        <v>113</v>
      </c>
    </row>
    <row r="113" ht="15.75" customHeight="1">
      <c r="A113" s="6" t="s">
        <v>444</v>
      </c>
      <c r="B113" s="6" t="s">
        <v>20</v>
      </c>
      <c r="C113" s="6" t="s">
        <v>445</v>
      </c>
      <c r="D113" s="6" t="s">
        <v>45</v>
      </c>
      <c r="E113" s="6" t="s">
        <v>133</v>
      </c>
      <c r="F113" s="6" t="s">
        <v>247</v>
      </c>
      <c r="G113" s="6" t="s">
        <v>132</v>
      </c>
      <c r="H113" s="6" t="s">
        <v>389</v>
      </c>
      <c r="I113" s="6" t="s">
        <v>258</v>
      </c>
      <c r="J113" s="6" t="s">
        <v>113</v>
      </c>
    </row>
    <row r="114" ht="15.75" customHeight="1">
      <c r="A114" s="6" t="s">
        <v>223</v>
      </c>
      <c r="B114" s="6" t="s">
        <v>20</v>
      </c>
      <c r="C114" s="6" t="s">
        <v>446</v>
      </c>
      <c r="D114" s="6" t="s">
        <v>38</v>
      </c>
      <c r="E114" s="6" t="s">
        <v>26</v>
      </c>
      <c r="F114" s="6" t="s">
        <v>447</v>
      </c>
      <c r="G114" s="6" t="s">
        <v>180</v>
      </c>
      <c r="H114" s="6" t="s">
        <v>238</v>
      </c>
      <c r="I114" s="6" t="s">
        <v>206</v>
      </c>
      <c r="J114" s="6" t="s">
        <v>33</v>
      </c>
    </row>
    <row r="115" ht="15.75" customHeight="1">
      <c r="A115" s="6" t="s">
        <v>90</v>
      </c>
      <c r="B115" s="6" t="s">
        <v>20</v>
      </c>
      <c r="C115" s="6" t="s">
        <v>375</v>
      </c>
      <c r="D115" s="6" t="s">
        <v>415</v>
      </c>
      <c r="E115" s="6" t="s">
        <v>25</v>
      </c>
      <c r="F115" s="6" t="s">
        <v>448</v>
      </c>
      <c r="G115" s="6" t="s">
        <v>107</v>
      </c>
      <c r="H115" s="6" t="s">
        <v>238</v>
      </c>
      <c r="I115" s="6" t="s">
        <v>294</v>
      </c>
      <c r="J115" s="6" t="s">
        <v>33</v>
      </c>
    </row>
    <row r="116" ht="15.75" customHeight="1">
      <c r="A116" s="6" t="s">
        <v>99</v>
      </c>
      <c r="B116" s="6" t="s">
        <v>20</v>
      </c>
      <c r="C116" s="6" t="s">
        <v>449</v>
      </c>
      <c r="D116" s="6" t="s">
        <v>24</v>
      </c>
      <c r="E116" s="6" t="s">
        <v>25</v>
      </c>
      <c r="F116" s="6" t="s">
        <v>450</v>
      </c>
      <c r="G116" s="6" t="s">
        <v>256</v>
      </c>
      <c r="H116" s="6" t="s">
        <v>238</v>
      </c>
      <c r="I116" s="6" t="s">
        <v>369</v>
      </c>
      <c r="J116" s="6" t="s">
        <v>33</v>
      </c>
    </row>
    <row r="117" ht="15.75" customHeight="1">
      <c r="A117" s="6" t="s">
        <v>451</v>
      </c>
      <c r="B117" s="6" t="s">
        <v>20</v>
      </c>
      <c r="C117" s="6" t="s">
        <v>452</v>
      </c>
      <c r="D117" s="6" t="s">
        <v>24</v>
      </c>
      <c r="E117" s="6" t="s">
        <v>25</v>
      </c>
      <c r="F117" s="6" t="s">
        <v>106</v>
      </c>
      <c r="G117" s="6" t="s">
        <v>107</v>
      </c>
      <c r="H117" s="6" t="s">
        <v>238</v>
      </c>
      <c r="I117" s="6" t="s">
        <v>129</v>
      </c>
      <c r="J117" s="6" t="s">
        <v>33</v>
      </c>
    </row>
    <row r="118" ht="15.75" customHeight="1">
      <c r="A118" s="6" t="s">
        <v>453</v>
      </c>
      <c r="B118" s="6" t="s">
        <v>43</v>
      </c>
      <c r="C118" s="6" t="s">
        <v>454</v>
      </c>
      <c r="D118" s="6" t="s">
        <v>45</v>
      </c>
      <c r="E118" s="6" t="s">
        <v>25</v>
      </c>
      <c r="F118" s="6" t="s">
        <v>455</v>
      </c>
      <c r="G118" s="6" t="s">
        <v>40</v>
      </c>
      <c r="H118" s="6" t="s">
        <v>238</v>
      </c>
      <c r="I118" s="6" t="s">
        <v>456</v>
      </c>
      <c r="J118" s="6" t="s">
        <v>33</v>
      </c>
    </row>
    <row r="119" ht="15.75" customHeight="1">
      <c r="A119" s="6" t="s">
        <v>457</v>
      </c>
      <c r="B119" s="6" t="s">
        <v>43</v>
      </c>
      <c r="C119" s="6" t="s">
        <v>458</v>
      </c>
      <c r="D119" s="6" t="s">
        <v>45</v>
      </c>
      <c r="E119" s="6" t="s">
        <v>25</v>
      </c>
      <c r="F119" s="6" t="s">
        <v>376</v>
      </c>
      <c r="G119" s="6" t="s">
        <v>117</v>
      </c>
      <c r="H119" s="6" t="s">
        <v>238</v>
      </c>
      <c r="I119" s="6" t="s">
        <v>138</v>
      </c>
      <c r="J119" s="6" t="s">
        <v>33</v>
      </c>
    </row>
    <row r="120" ht="15.75" customHeight="1">
      <c r="A120" s="6" t="s">
        <v>459</v>
      </c>
      <c r="B120" s="6" t="s">
        <v>43</v>
      </c>
      <c r="C120" s="6" t="s">
        <v>460</v>
      </c>
      <c r="D120" s="6" t="s">
        <v>45</v>
      </c>
      <c r="E120" s="6" t="s">
        <v>25</v>
      </c>
      <c r="F120" s="6" t="s">
        <v>431</v>
      </c>
      <c r="G120" s="6" t="s">
        <v>256</v>
      </c>
      <c r="H120" s="6" t="s">
        <v>238</v>
      </c>
      <c r="I120" s="6" t="s">
        <v>279</v>
      </c>
      <c r="J120" s="6" t="s">
        <v>33</v>
      </c>
    </row>
    <row r="121" ht="15.75" customHeight="1">
      <c r="A121" s="6" t="s">
        <v>201</v>
      </c>
      <c r="B121" s="6" t="s">
        <v>43</v>
      </c>
      <c r="C121" s="6" t="s">
        <v>461</v>
      </c>
      <c r="D121" s="6" t="s">
        <v>38</v>
      </c>
      <c r="E121" s="6" t="s">
        <v>26</v>
      </c>
      <c r="F121" s="6" t="s">
        <v>448</v>
      </c>
      <c r="G121" s="6" t="s">
        <v>287</v>
      </c>
      <c r="H121" s="6" t="s">
        <v>238</v>
      </c>
      <c r="I121" s="6" t="s">
        <v>86</v>
      </c>
      <c r="J121" s="6" t="s">
        <v>33</v>
      </c>
    </row>
    <row r="122" ht="15.75" customHeight="1">
      <c r="A122" s="6" t="s">
        <v>462</v>
      </c>
      <c r="B122" s="6" t="s">
        <v>43</v>
      </c>
      <c r="C122" s="6" t="s">
        <v>463</v>
      </c>
      <c r="D122" s="6" t="s">
        <v>24</v>
      </c>
      <c r="E122" s="6" t="s">
        <v>25</v>
      </c>
      <c r="F122" s="6" t="s">
        <v>40</v>
      </c>
      <c r="G122" s="6" t="s">
        <v>337</v>
      </c>
      <c r="H122" s="6" t="s">
        <v>238</v>
      </c>
      <c r="I122" s="6" t="s">
        <v>193</v>
      </c>
      <c r="J122" s="6" t="s">
        <v>33</v>
      </c>
    </row>
    <row r="123" ht="15.75" customHeight="1">
      <c r="A123" s="6" t="s">
        <v>464</v>
      </c>
      <c r="B123" s="6" t="s">
        <v>43</v>
      </c>
      <c r="C123" s="6" t="s">
        <v>465</v>
      </c>
      <c r="D123" s="6" t="s">
        <v>24</v>
      </c>
      <c r="E123" s="6" t="s">
        <v>25</v>
      </c>
      <c r="F123" s="6" t="s">
        <v>183</v>
      </c>
      <c r="G123" s="6" t="s">
        <v>81</v>
      </c>
      <c r="H123" s="6" t="s">
        <v>238</v>
      </c>
      <c r="I123" s="6" t="s">
        <v>155</v>
      </c>
      <c r="J123" s="6" t="s">
        <v>33</v>
      </c>
    </row>
    <row r="124" ht="15.75" customHeight="1">
      <c r="A124" s="6" t="s">
        <v>466</v>
      </c>
      <c r="B124" s="6" t="s">
        <v>43</v>
      </c>
      <c r="C124" s="6" t="s">
        <v>467</v>
      </c>
      <c r="D124" s="6" t="s">
        <v>45</v>
      </c>
      <c r="E124" s="6" t="s">
        <v>25</v>
      </c>
      <c r="F124" s="6" t="s">
        <v>468</v>
      </c>
      <c r="G124" s="6" t="s">
        <v>132</v>
      </c>
      <c r="H124" s="6" t="s">
        <v>238</v>
      </c>
      <c r="I124" s="6" t="s">
        <v>42</v>
      </c>
      <c r="J124" s="6" t="s">
        <v>33</v>
      </c>
    </row>
    <row r="125" ht="15.75" customHeight="1">
      <c r="A125" s="6" t="s">
        <v>166</v>
      </c>
      <c r="B125" s="6" t="s">
        <v>43</v>
      </c>
      <c r="C125" s="6" t="s">
        <v>469</v>
      </c>
      <c r="D125" s="6" t="s">
        <v>38</v>
      </c>
      <c r="E125" s="6" t="s">
        <v>25</v>
      </c>
      <c r="F125" s="6" t="s">
        <v>470</v>
      </c>
      <c r="G125" s="6" t="s">
        <v>107</v>
      </c>
      <c r="H125" s="6" t="s">
        <v>238</v>
      </c>
      <c r="I125" s="6" t="s">
        <v>94</v>
      </c>
      <c r="J125" s="6" t="s">
        <v>33</v>
      </c>
    </row>
    <row r="126" ht="15.75" customHeight="1">
      <c r="A126" s="6" t="s">
        <v>471</v>
      </c>
      <c r="B126" s="6" t="s">
        <v>20</v>
      </c>
      <c r="C126" s="6" t="s">
        <v>472</v>
      </c>
      <c r="D126" s="6" t="s">
        <v>45</v>
      </c>
      <c r="E126" s="6" t="s">
        <v>25</v>
      </c>
      <c r="F126" s="6" t="s">
        <v>422</v>
      </c>
      <c r="G126" s="6" t="s">
        <v>132</v>
      </c>
      <c r="H126" s="6" t="s">
        <v>238</v>
      </c>
      <c r="I126" s="6" t="s">
        <v>473</v>
      </c>
      <c r="J126" s="6" t="s">
        <v>113</v>
      </c>
    </row>
    <row r="127" ht="15.75" customHeight="1">
      <c r="A127" s="6" t="s">
        <v>474</v>
      </c>
      <c r="B127" s="6" t="s">
        <v>20</v>
      </c>
      <c r="C127" s="6" t="s">
        <v>475</v>
      </c>
      <c r="D127" s="6" t="s">
        <v>24</v>
      </c>
      <c r="E127" s="6" t="s">
        <v>133</v>
      </c>
      <c r="F127" s="6" t="s">
        <v>360</v>
      </c>
      <c r="G127" s="6" t="s">
        <v>132</v>
      </c>
      <c r="H127" s="6" t="s">
        <v>238</v>
      </c>
      <c r="I127" s="6" t="s">
        <v>476</v>
      </c>
      <c r="J127" s="6" t="s">
        <v>113</v>
      </c>
    </row>
    <row r="128" ht="15.75" customHeight="1">
      <c r="A128" s="6" t="s">
        <v>477</v>
      </c>
      <c r="B128" s="6" t="s">
        <v>20</v>
      </c>
      <c r="C128" s="6" t="s">
        <v>478</v>
      </c>
      <c r="D128" s="6" t="s">
        <v>45</v>
      </c>
      <c r="E128" s="6" t="s">
        <v>133</v>
      </c>
      <c r="F128" s="6" t="s">
        <v>247</v>
      </c>
      <c r="G128" s="6" t="s">
        <v>132</v>
      </c>
      <c r="H128" s="6" t="s">
        <v>238</v>
      </c>
      <c r="I128" s="6" t="s">
        <v>479</v>
      </c>
      <c r="J128" s="6" t="s">
        <v>113</v>
      </c>
    </row>
    <row r="129" ht="15.75" customHeight="1">
      <c r="A129" s="6" t="s">
        <v>480</v>
      </c>
      <c r="B129" s="6" t="s">
        <v>43</v>
      </c>
      <c r="C129" s="6" t="s">
        <v>481</v>
      </c>
      <c r="D129" s="6" t="s">
        <v>45</v>
      </c>
      <c r="E129" s="6" t="s">
        <v>25</v>
      </c>
      <c r="F129" s="6" t="s">
        <v>482</v>
      </c>
      <c r="G129" s="6" t="s">
        <v>93</v>
      </c>
      <c r="H129" s="6" t="s">
        <v>238</v>
      </c>
      <c r="I129" s="6" t="s">
        <v>483</v>
      </c>
      <c r="J129" s="6" t="s">
        <v>113</v>
      </c>
    </row>
    <row r="130" ht="15.75" customHeight="1">
      <c r="A130" s="6" t="s">
        <v>484</v>
      </c>
      <c r="B130" s="6" t="s">
        <v>20</v>
      </c>
      <c r="C130" s="6" t="s">
        <v>485</v>
      </c>
      <c r="D130" s="6" t="s">
        <v>213</v>
      </c>
      <c r="E130" s="6" t="s">
        <v>26</v>
      </c>
      <c r="F130" s="6" t="s">
        <v>386</v>
      </c>
      <c r="G130" s="6" t="s">
        <v>142</v>
      </c>
      <c r="H130" s="6" t="s">
        <v>384</v>
      </c>
      <c r="I130" s="6" t="s">
        <v>224</v>
      </c>
      <c r="J130" s="6" t="s">
        <v>33</v>
      </c>
    </row>
    <row r="131" ht="15.75" customHeight="1">
      <c r="A131" s="6" t="s">
        <v>379</v>
      </c>
      <c r="B131" s="6" t="s">
        <v>20</v>
      </c>
      <c r="C131" s="6" t="s">
        <v>486</v>
      </c>
      <c r="D131" s="6" t="s">
        <v>487</v>
      </c>
      <c r="E131" s="6" t="s">
        <v>26</v>
      </c>
      <c r="F131" s="6" t="s">
        <v>488</v>
      </c>
      <c r="G131" s="6" t="s">
        <v>215</v>
      </c>
      <c r="H131" s="6" t="s">
        <v>384</v>
      </c>
      <c r="I131" s="6" t="s">
        <v>78</v>
      </c>
      <c r="J131" s="6" t="s">
        <v>33</v>
      </c>
    </row>
    <row r="132" ht="15.75" customHeight="1">
      <c r="A132" s="6" t="s">
        <v>489</v>
      </c>
      <c r="B132" s="6" t="s">
        <v>20</v>
      </c>
      <c r="C132" s="6" t="s">
        <v>323</v>
      </c>
      <c r="D132" s="6" t="s">
        <v>24</v>
      </c>
      <c r="E132" s="6" t="s">
        <v>25</v>
      </c>
      <c r="F132" s="6" t="s">
        <v>455</v>
      </c>
      <c r="G132" s="6" t="s">
        <v>287</v>
      </c>
      <c r="H132" s="6" t="s">
        <v>384</v>
      </c>
      <c r="I132" s="6" t="s">
        <v>155</v>
      </c>
      <c r="J132" s="6" t="s">
        <v>33</v>
      </c>
    </row>
    <row r="133" ht="15.75" customHeight="1">
      <c r="A133" s="6" t="s">
        <v>490</v>
      </c>
      <c r="B133" s="6" t="s">
        <v>20</v>
      </c>
      <c r="C133" s="6" t="s">
        <v>491</v>
      </c>
      <c r="D133" s="6" t="s">
        <v>45</v>
      </c>
      <c r="E133" s="6" t="s">
        <v>25</v>
      </c>
      <c r="F133" s="6" t="s">
        <v>126</v>
      </c>
      <c r="G133" s="6" t="s">
        <v>492</v>
      </c>
      <c r="H133" s="6" t="s">
        <v>384</v>
      </c>
      <c r="I133" s="6" t="s">
        <v>210</v>
      </c>
      <c r="J133" s="6" t="s">
        <v>33</v>
      </c>
    </row>
    <row r="134" ht="15.75" customHeight="1">
      <c r="A134" s="6" t="s">
        <v>493</v>
      </c>
      <c r="B134" s="6" t="s">
        <v>20</v>
      </c>
      <c r="C134" s="6" t="s">
        <v>494</v>
      </c>
      <c r="D134" s="6" t="s">
        <v>24</v>
      </c>
      <c r="E134" s="6" t="s">
        <v>25</v>
      </c>
      <c r="F134" s="6" t="s">
        <v>30</v>
      </c>
      <c r="G134" s="6" t="s">
        <v>287</v>
      </c>
      <c r="H134" s="6" t="s">
        <v>384</v>
      </c>
      <c r="I134" s="6" t="s">
        <v>377</v>
      </c>
      <c r="J134" s="6" t="s">
        <v>33</v>
      </c>
    </row>
    <row r="135" ht="15.75" customHeight="1">
      <c r="A135" s="6" t="s">
        <v>495</v>
      </c>
      <c r="B135" s="6" t="s">
        <v>43</v>
      </c>
      <c r="C135" s="6" t="s">
        <v>496</v>
      </c>
      <c r="D135" s="6" t="s">
        <v>38</v>
      </c>
      <c r="E135" s="6" t="s">
        <v>26</v>
      </c>
      <c r="F135" s="6" t="s">
        <v>497</v>
      </c>
      <c r="G135" s="6" t="s">
        <v>498</v>
      </c>
      <c r="H135" s="6" t="s">
        <v>384</v>
      </c>
      <c r="I135" s="6" t="s">
        <v>499</v>
      </c>
      <c r="J135" s="6" t="s">
        <v>33</v>
      </c>
    </row>
    <row r="136" ht="15.75" customHeight="1">
      <c r="A136" s="6" t="s">
        <v>500</v>
      </c>
      <c r="B136" s="6" t="s">
        <v>43</v>
      </c>
      <c r="C136" s="6" t="s">
        <v>501</v>
      </c>
      <c r="D136" s="6" t="s">
        <v>45</v>
      </c>
      <c r="E136" s="6" t="s">
        <v>25</v>
      </c>
      <c r="F136" s="6" t="s">
        <v>150</v>
      </c>
      <c r="G136" s="6" t="s">
        <v>361</v>
      </c>
      <c r="H136" s="6" t="s">
        <v>384</v>
      </c>
      <c r="I136" s="6" t="s">
        <v>94</v>
      </c>
      <c r="J136" s="6" t="s">
        <v>33</v>
      </c>
    </row>
    <row r="137" ht="15.75" customHeight="1">
      <c r="A137" s="6" t="s">
        <v>502</v>
      </c>
      <c r="B137" s="6" t="s">
        <v>20</v>
      </c>
      <c r="C137" s="6" t="s">
        <v>503</v>
      </c>
      <c r="D137" s="6" t="s">
        <v>45</v>
      </c>
      <c r="E137" s="6" t="s">
        <v>25</v>
      </c>
      <c r="F137" s="6" t="s">
        <v>504</v>
      </c>
      <c r="G137" s="6" t="s">
        <v>132</v>
      </c>
      <c r="H137" s="6" t="s">
        <v>380</v>
      </c>
      <c r="I137" s="6" t="s">
        <v>505</v>
      </c>
      <c r="J137" s="6" t="s">
        <v>33</v>
      </c>
    </row>
    <row r="138" ht="15.75" customHeight="1">
      <c r="A138" s="6" t="s">
        <v>123</v>
      </c>
      <c r="B138" s="6" t="s">
        <v>20</v>
      </c>
      <c r="C138" s="6" t="s">
        <v>506</v>
      </c>
      <c r="D138" s="6" t="s">
        <v>507</v>
      </c>
      <c r="E138" s="6" t="s">
        <v>26</v>
      </c>
      <c r="F138" s="6" t="s">
        <v>508</v>
      </c>
      <c r="G138" s="6" t="s">
        <v>509</v>
      </c>
      <c r="H138" s="6" t="s">
        <v>380</v>
      </c>
      <c r="I138" s="6" t="s">
        <v>510</v>
      </c>
      <c r="J138" s="6" t="s">
        <v>33</v>
      </c>
    </row>
    <row r="139" ht="15.75" customHeight="1">
      <c r="A139" s="6" t="s">
        <v>76</v>
      </c>
      <c r="B139" s="6" t="s">
        <v>20</v>
      </c>
      <c r="C139" s="6" t="s">
        <v>511</v>
      </c>
      <c r="D139" s="6" t="s">
        <v>45</v>
      </c>
      <c r="E139" s="6" t="s">
        <v>25</v>
      </c>
      <c r="F139" s="6" t="s">
        <v>296</v>
      </c>
      <c r="G139" s="6" t="s">
        <v>132</v>
      </c>
      <c r="H139" s="6" t="s">
        <v>380</v>
      </c>
      <c r="I139" s="6" t="s">
        <v>512</v>
      </c>
      <c r="J139" s="6" t="s">
        <v>33</v>
      </c>
    </row>
    <row r="140" ht="15.75" customHeight="1">
      <c r="A140" s="6" t="s">
        <v>513</v>
      </c>
      <c r="B140" s="6" t="s">
        <v>43</v>
      </c>
      <c r="C140" s="6" t="s">
        <v>514</v>
      </c>
      <c r="D140" s="6" t="s">
        <v>57</v>
      </c>
      <c r="E140" s="6" t="s">
        <v>25</v>
      </c>
      <c r="F140" s="6" t="s">
        <v>391</v>
      </c>
      <c r="G140" s="6" t="s">
        <v>63</v>
      </c>
      <c r="H140" s="6" t="s">
        <v>380</v>
      </c>
      <c r="I140" s="6" t="s">
        <v>238</v>
      </c>
      <c r="J140" s="6" t="s">
        <v>33</v>
      </c>
    </row>
    <row r="141" ht="15.75" customHeight="1">
      <c r="A141" s="6" t="s">
        <v>515</v>
      </c>
      <c r="B141" s="6" t="s">
        <v>43</v>
      </c>
      <c r="C141" s="6" t="s">
        <v>516</v>
      </c>
      <c r="D141" s="6" t="s">
        <v>45</v>
      </c>
      <c r="E141" s="6" t="s">
        <v>25</v>
      </c>
      <c r="F141" s="6" t="s">
        <v>250</v>
      </c>
      <c r="G141" s="6" t="s">
        <v>81</v>
      </c>
      <c r="H141" s="6" t="s">
        <v>380</v>
      </c>
      <c r="I141" s="6" t="s">
        <v>112</v>
      </c>
      <c r="J141" s="6" t="s">
        <v>33</v>
      </c>
    </row>
    <row r="142" ht="15.75" customHeight="1">
      <c r="A142" s="6" t="s">
        <v>517</v>
      </c>
      <c r="B142" s="6" t="s">
        <v>43</v>
      </c>
      <c r="C142" s="6" t="s">
        <v>518</v>
      </c>
      <c r="D142" s="6" t="s">
        <v>24</v>
      </c>
      <c r="E142" s="6" t="s">
        <v>25</v>
      </c>
      <c r="F142" s="6" t="s">
        <v>268</v>
      </c>
      <c r="G142" s="6" t="s">
        <v>519</v>
      </c>
      <c r="H142" s="6" t="s">
        <v>380</v>
      </c>
      <c r="I142" s="6" t="s">
        <v>198</v>
      </c>
      <c r="J142" s="6" t="s">
        <v>33</v>
      </c>
    </row>
    <row r="143" ht="15.75" customHeight="1">
      <c r="A143" s="6" t="s">
        <v>520</v>
      </c>
      <c r="B143" s="6" t="s">
        <v>43</v>
      </c>
      <c r="C143" s="6" t="s">
        <v>521</v>
      </c>
      <c r="D143" s="6" t="s">
        <v>45</v>
      </c>
      <c r="E143" s="6" t="s">
        <v>25</v>
      </c>
      <c r="F143" s="6" t="s">
        <v>398</v>
      </c>
      <c r="G143" s="6" t="s">
        <v>522</v>
      </c>
      <c r="H143" s="6" t="s">
        <v>380</v>
      </c>
      <c r="I143" s="6" t="s">
        <v>118</v>
      </c>
      <c r="J143" s="6" t="s">
        <v>33</v>
      </c>
    </row>
    <row r="144" ht="15.75" customHeight="1">
      <c r="A144" s="6" t="s">
        <v>108</v>
      </c>
      <c r="B144" s="6" t="s">
        <v>43</v>
      </c>
      <c r="C144" s="6" t="s">
        <v>523</v>
      </c>
      <c r="D144" s="6" t="s">
        <v>45</v>
      </c>
      <c r="E144" s="6" t="s">
        <v>25</v>
      </c>
      <c r="F144" s="6" t="s">
        <v>524</v>
      </c>
      <c r="G144" s="6" t="s">
        <v>63</v>
      </c>
      <c r="H144" s="6" t="s">
        <v>380</v>
      </c>
      <c r="I144" s="6" t="s">
        <v>429</v>
      </c>
      <c r="J144" s="6" t="s">
        <v>33</v>
      </c>
    </row>
    <row r="145" ht="15.75" customHeight="1">
      <c r="A145" s="6" t="s">
        <v>32</v>
      </c>
      <c r="B145" s="6" t="s">
        <v>43</v>
      </c>
      <c r="C145" s="6" t="s">
        <v>525</v>
      </c>
      <c r="D145" s="6" t="s">
        <v>57</v>
      </c>
      <c r="E145" s="6" t="s">
        <v>25</v>
      </c>
      <c r="F145" s="6" t="s">
        <v>526</v>
      </c>
      <c r="G145" s="6" t="s">
        <v>93</v>
      </c>
      <c r="H145" s="6" t="s">
        <v>380</v>
      </c>
      <c r="I145" s="6" t="s">
        <v>527</v>
      </c>
      <c r="J145" s="6" t="s">
        <v>33</v>
      </c>
    </row>
    <row r="146" ht="15.75" customHeight="1">
      <c r="A146" s="6" t="s">
        <v>528</v>
      </c>
      <c r="B146" s="6" t="s">
        <v>20</v>
      </c>
      <c r="C146" s="6" t="s">
        <v>529</v>
      </c>
      <c r="D146" s="6" t="s">
        <v>45</v>
      </c>
      <c r="E146" s="6" t="s">
        <v>25</v>
      </c>
      <c r="F146" s="6" t="s">
        <v>530</v>
      </c>
      <c r="G146" s="6" t="s">
        <v>81</v>
      </c>
      <c r="H146" s="6" t="s">
        <v>380</v>
      </c>
      <c r="I146" s="6" t="s">
        <v>224</v>
      </c>
      <c r="J146" s="6" t="s">
        <v>113</v>
      </c>
    </row>
    <row r="147" ht="15.75" customHeight="1">
      <c r="A147" s="6" t="s">
        <v>531</v>
      </c>
      <c r="B147" s="6" t="s">
        <v>20</v>
      </c>
      <c r="C147" s="6" t="s">
        <v>532</v>
      </c>
      <c r="D147" s="6" t="s">
        <v>273</v>
      </c>
      <c r="E147" s="6" t="s">
        <v>25</v>
      </c>
      <c r="F147" s="6" t="s">
        <v>533</v>
      </c>
      <c r="G147" s="6" t="s">
        <v>240</v>
      </c>
      <c r="H147" s="6" t="s">
        <v>380</v>
      </c>
      <c r="I147" s="6" t="s">
        <v>534</v>
      </c>
      <c r="J147" s="6" t="s">
        <v>113</v>
      </c>
    </row>
    <row r="148" ht="15.75" customHeight="1">
      <c r="A148" s="6" t="s">
        <v>535</v>
      </c>
      <c r="B148" s="6" t="s">
        <v>20</v>
      </c>
      <c r="C148" s="6" t="s">
        <v>536</v>
      </c>
      <c r="D148" s="6" t="s">
        <v>24</v>
      </c>
      <c r="E148" s="6" t="s">
        <v>25</v>
      </c>
      <c r="F148" s="6" t="s">
        <v>537</v>
      </c>
      <c r="G148" s="6" t="s">
        <v>81</v>
      </c>
      <c r="H148" s="6" t="s">
        <v>380</v>
      </c>
      <c r="I148" s="6" t="s">
        <v>538</v>
      </c>
      <c r="J148" s="6" t="s">
        <v>113</v>
      </c>
    </row>
    <row r="149" ht="15.75" customHeight="1">
      <c r="A149" s="6" t="s">
        <v>539</v>
      </c>
      <c r="B149" s="6" t="s">
        <v>43</v>
      </c>
      <c r="C149" s="6" t="s">
        <v>540</v>
      </c>
      <c r="D149" s="6" t="s">
        <v>24</v>
      </c>
      <c r="E149" s="6" t="s">
        <v>25</v>
      </c>
      <c r="F149" s="6" t="s">
        <v>541</v>
      </c>
      <c r="G149" s="6" t="s">
        <v>117</v>
      </c>
      <c r="H149" s="6" t="s">
        <v>380</v>
      </c>
      <c r="I149" s="6" t="s">
        <v>298</v>
      </c>
      <c r="J149" s="6" t="s">
        <v>113</v>
      </c>
    </row>
    <row r="150" ht="15.75" customHeight="1">
      <c r="A150" s="6" t="s">
        <v>542</v>
      </c>
      <c r="B150" s="6" t="s">
        <v>20</v>
      </c>
      <c r="C150" s="6" t="s">
        <v>543</v>
      </c>
      <c r="D150" s="6" t="s">
        <v>45</v>
      </c>
      <c r="E150" s="6" t="s">
        <v>25</v>
      </c>
      <c r="F150" s="6" t="s">
        <v>349</v>
      </c>
      <c r="G150" s="6" t="s">
        <v>132</v>
      </c>
      <c r="H150" s="6" t="s">
        <v>377</v>
      </c>
      <c r="I150" s="6" t="s">
        <v>162</v>
      </c>
      <c r="J150" s="6" t="s">
        <v>33</v>
      </c>
    </row>
    <row r="151" ht="15.75" customHeight="1">
      <c r="A151" s="6" t="s">
        <v>544</v>
      </c>
      <c r="B151" s="6" t="s">
        <v>20</v>
      </c>
      <c r="C151" s="6" t="s">
        <v>545</v>
      </c>
      <c r="D151" s="6" t="s">
        <v>45</v>
      </c>
      <c r="E151" s="6" t="s">
        <v>25</v>
      </c>
      <c r="F151" s="6" t="s">
        <v>546</v>
      </c>
      <c r="G151" s="6" t="s">
        <v>132</v>
      </c>
      <c r="H151" s="6" t="s">
        <v>377</v>
      </c>
      <c r="I151" s="6" t="s">
        <v>108</v>
      </c>
      <c r="J151" s="6" t="s">
        <v>33</v>
      </c>
    </row>
    <row r="152" ht="15.75" customHeight="1">
      <c r="A152" s="6" t="s">
        <v>440</v>
      </c>
      <c r="B152" s="6" t="s">
        <v>20</v>
      </c>
      <c r="C152" s="6" t="s">
        <v>547</v>
      </c>
      <c r="D152" s="6" t="s">
        <v>38</v>
      </c>
      <c r="E152" s="6" t="s">
        <v>26</v>
      </c>
      <c r="F152" s="6" t="s">
        <v>146</v>
      </c>
      <c r="G152" s="6" t="s">
        <v>150</v>
      </c>
      <c r="H152" s="6" t="s">
        <v>377</v>
      </c>
      <c r="I152" s="6" t="s">
        <v>474</v>
      </c>
      <c r="J152" s="6" t="s">
        <v>33</v>
      </c>
    </row>
    <row r="153" ht="15.75" customHeight="1">
      <c r="A153" s="6" t="s">
        <v>548</v>
      </c>
      <c r="B153" s="6" t="s">
        <v>20</v>
      </c>
      <c r="C153" s="6" t="s">
        <v>549</v>
      </c>
      <c r="D153" s="6" t="s">
        <v>57</v>
      </c>
      <c r="E153" s="6" t="s">
        <v>133</v>
      </c>
      <c r="F153" s="6" t="s">
        <v>247</v>
      </c>
      <c r="G153" s="6" t="s">
        <v>132</v>
      </c>
      <c r="H153" s="6" t="s">
        <v>377</v>
      </c>
      <c r="I153" s="6" t="s">
        <v>550</v>
      </c>
      <c r="J153" s="6" t="s">
        <v>33</v>
      </c>
    </row>
    <row r="154" ht="15.75" customHeight="1">
      <c r="A154" s="6" t="s">
        <v>551</v>
      </c>
      <c r="B154" s="6" t="s">
        <v>43</v>
      </c>
      <c r="C154" s="6" t="s">
        <v>552</v>
      </c>
      <c r="D154" s="6" t="s">
        <v>45</v>
      </c>
      <c r="E154" s="6" t="s">
        <v>25</v>
      </c>
      <c r="F154" s="6" t="s">
        <v>530</v>
      </c>
      <c r="G154" s="6" t="s">
        <v>553</v>
      </c>
      <c r="H154" s="6" t="s">
        <v>377</v>
      </c>
      <c r="I154" s="6" t="s">
        <v>139</v>
      </c>
      <c r="J154" s="6" t="s">
        <v>33</v>
      </c>
    </row>
    <row r="155" ht="15.75" customHeight="1">
      <c r="A155" s="6" t="s">
        <v>554</v>
      </c>
      <c r="B155" s="6" t="s">
        <v>43</v>
      </c>
      <c r="C155" s="6" t="s">
        <v>555</v>
      </c>
      <c r="D155" s="6" t="s">
        <v>45</v>
      </c>
      <c r="E155" s="6" t="s">
        <v>25</v>
      </c>
      <c r="F155" s="6" t="s">
        <v>556</v>
      </c>
      <c r="G155" s="6" t="s">
        <v>48</v>
      </c>
      <c r="H155" s="6" t="s">
        <v>377</v>
      </c>
      <c r="I155" s="6" t="s">
        <v>557</v>
      </c>
      <c r="J155" s="6" t="s">
        <v>33</v>
      </c>
    </row>
    <row r="156" ht="15.75" customHeight="1">
      <c r="A156" s="6" t="s">
        <v>558</v>
      </c>
      <c r="B156" s="6" t="s">
        <v>20</v>
      </c>
      <c r="C156" s="6" t="s">
        <v>559</v>
      </c>
      <c r="D156" s="6" t="s">
        <v>24</v>
      </c>
      <c r="E156" s="6" t="s">
        <v>25</v>
      </c>
      <c r="F156" s="6" t="s">
        <v>560</v>
      </c>
      <c r="G156" s="6" t="s">
        <v>132</v>
      </c>
      <c r="H156" s="6" t="s">
        <v>377</v>
      </c>
      <c r="I156" s="6" t="s">
        <v>193</v>
      </c>
      <c r="J156" s="6" t="s">
        <v>113</v>
      </c>
    </row>
    <row r="157" ht="15.75" customHeight="1">
      <c r="A157" s="6" t="s">
        <v>561</v>
      </c>
      <c r="B157" s="6" t="s">
        <v>20</v>
      </c>
      <c r="C157" s="6" t="s">
        <v>562</v>
      </c>
      <c r="D157" s="6" t="s">
        <v>24</v>
      </c>
      <c r="E157" s="6" t="s">
        <v>25</v>
      </c>
      <c r="F157" s="6" t="s">
        <v>530</v>
      </c>
      <c r="G157" s="6" t="s">
        <v>132</v>
      </c>
      <c r="H157" s="6" t="s">
        <v>377</v>
      </c>
      <c r="I157" s="6" t="s">
        <v>275</v>
      </c>
      <c r="J157" s="6" t="s">
        <v>113</v>
      </c>
    </row>
    <row r="158" ht="15.75" customHeight="1">
      <c r="A158" s="6" t="s">
        <v>563</v>
      </c>
      <c r="B158" s="6" t="s">
        <v>43</v>
      </c>
      <c r="C158" s="6" t="s">
        <v>564</v>
      </c>
      <c r="D158" s="6" t="s">
        <v>45</v>
      </c>
      <c r="E158" s="6" t="s">
        <v>25</v>
      </c>
      <c r="F158" s="6" t="s">
        <v>541</v>
      </c>
      <c r="G158" s="6" t="s">
        <v>565</v>
      </c>
      <c r="H158" s="6" t="s">
        <v>377</v>
      </c>
      <c r="I158" s="6" t="s">
        <v>104</v>
      </c>
      <c r="J158" s="6" t="s">
        <v>113</v>
      </c>
    </row>
    <row r="159" ht="15.75" customHeight="1">
      <c r="A159" s="6" t="s">
        <v>566</v>
      </c>
      <c r="B159" s="6" t="s">
        <v>43</v>
      </c>
      <c r="C159" s="6" t="s">
        <v>567</v>
      </c>
      <c r="D159" s="6" t="s">
        <v>45</v>
      </c>
      <c r="E159" s="6" t="s">
        <v>25</v>
      </c>
      <c r="F159" s="6" t="s">
        <v>116</v>
      </c>
      <c r="G159" s="6" t="s">
        <v>48</v>
      </c>
      <c r="H159" s="6" t="s">
        <v>377</v>
      </c>
      <c r="I159" s="6" t="s">
        <v>104</v>
      </c>
      <c r="J159" s="6" t="s">
        <v>113</v>
      </c>
    </row>
    <row r="160" ht="15.75" customHeight="1">
      <c r="A160" s="6" t="s">
        <v>568</v>
      </c>
      <c r="B160" s="6" t="s">
        <v>43</v>
      </c>
      <c r="C160" s="6" t="s">
        <v>569</v>
      </c>
      <c r="D160" s="6" t="s">
        <v>38</v>
      </c>
      <c r="E160" s="6" t="s">
        <v>25</v>
      </c>
      <c r="F160" s="6" t="s">
        <v>277</v>
      </c>
      <c r="G160" s="6" t="s">
        <v>98</v>
      </c>
      <c r="H160" s="6" t="s">
        <v>377</v>
      </c>
      <c r="I160" s="6" t="s">
        <v>466</v>
      </c>
      <c r="J160" s="6" t="s">
        <v>113</v>
      </c>
    </row>
    <row r="161" ht="15.75" customHeight="1">
      <c r="A161" s="6" t="s">
        <v>570</v>
      </c>
      <c r="B161" s="6" t="s">
        <v>20</v>
      </c>
      <c r="C161" s="6" t="s">
        <v>571</v>
      </c>
      <c r="D161" s="6" t="s">
        <v>38</v>
      </c>
      <c r="E161" s="6" t="s">
        <v>26</v>
      </c>
      <c r="F161" s="6" t="s">
        <v>572</v>
      </c>
      <c r="G161" s="6" t="s">
        <v>573</v>
      </c>
      <c r="H161" s="6" t="s">
        <v>374</v>
      </c>
      <c r="I161" s="6" t="s">
        <v>544</v>
      </c>
      <c r="J161" s="6" t="s">
        <v>33</v>
      </c>
    </row>
    <row r="162" ht="15.75" customHeight="1">
      <c r="A162" s="6" t="s">
        <v>574</v>
      </c>
      <c r="B162" s="6" t="s">
        <v>20</v>
      </c>
      <c r="C162" s="6" t="s">
        <v>575</v>
      </c>
      <c r="D162" s="6" t="s">
        <v>38</v>
      </c>
      <c r="E162" s="6" t="s">
        <v>25</v>
      </c>
      <c r="F162" s="6" t="s">
        <v>576</v>
      </c>
      <c r="G162" s="6" t="s">
        <v>340</v>
      </c>
      <c r="H162" s="6" t="s">
        <v>374</v>
      </c>
      <c r="I162" s="6" t="s">
        <v>148</v>
      </c>
      <c r="J162" s="6" t="s">
        <v>33</v>
      </c>
    </row>
    <row r="163" ht="15.75" customHeight="1">
      <c r="A163" s="6" t="s">
        <v>577</v>
      </c>
      <c r="B163" s="6" t="s">
        <v>20</v>
      </c>
      <c r="C163" s="6" t="s">
        <v>356</v>
      </c>
      <c r="D163" s="6" t="s">
        <v>38</v>
      </c>
      <c r="E163" s="6" t="s">
        <v>26</v>
      </c>
      <c r="F163" s="6" t="s">
        <v>578</v>
      </c>
      <c r="G163" s="6" t="s">
        <v>240</v>
      </c>
      <c r="H163" s="6" t="s">
        <v>374</v>
      </c>
      <c r="I163" s="6" t="s">
        <v>294</v>
      </c>
      <c r="J163" s="6" t="s">
        <v>33</v>
      </c>
    </row>
    <row r="164" ht="15.75" customHeight="1">
      <c r="A164" s="6" t="s">
        <v>557</v>
      </c>
      <c r="B164" s="6" t="s">
        <v>20</v>
      </c>
      <c r="C164" s="6" t="s">
        <v>579</v>
      </c>
      <c r="D164" s="6" t="s">
        <v>24</v>
      </c>
      <c r="E164" s="6" t="s">
        <v>25</v>
      </c>
      <c r="F164" s="6" t="s">
        <v>296</v>
      </c>
      <c r="G164" s="6" t="s">
        <v>132</v>
      </c>
      <c r="H164" s="6" t="s">
        <v>374</v>
      </c>
      <c r="I164" s="6" t="s">
        <v>167</v>
      </c>
      <c r="J164" s="6" t="s">
        <v>33</v>
      </c>
    </row>
    <row r="165" ht="15.75" customHeight="1">
      <c r="A165" s="6" t="s">
        <v>580</v>
      </c>
      <c r="B165" s="6" t="s">
        <v>43</v>
      </c>
      <c r="C165" s="6" t="s">
        <v>581</v>
      </c>
      <c r="D165" s="6" t="s">
        <v>24</v>
      </c>
      <c r="E165" s="6" t="s">
        <v>25</v>
      </c>
      <c r="F165" s="6" t="s">
        <v>582</v>
      </c>
      <c r="G165" s="6" t="s">
        <v>107</v>
      </c>
      <c r="H165" s="6" t="s">
        <v>374</v>
      </c>
      <c r="I165" s="6" t="s">
        <v>134</v>
      </c>
      <c r="J165" s="6" t="s">
        <v>33</v>
      </c>
    </row>
    <row r="166" ht="15.75" customHeight="1">
      <c r="A166" s="6" t="s">
        <v>251</v>
      </c>
      <c r="B166" s="6" t="s">
        <v>43</v>
      </c>
      <c r="C166" s="6" t="s">
        <v>583</v>
      </c>
      <c r="D166" s="6" t="s">
        <v>24</v>
      </c>
      <c r="E166" s="6" t="s">
        <v>25</v>
      </c>
      <c r="F166" s="6" t="s">
        <v>468</v>
      </c>
      <c r="G166" s="6" t="s">
        <v>81</v>
      </c>
      <c r="H166" s="6" t="s">
        <v>374</v>
      </c>
      <c r="I166" s="6" t="s">
        <v>134</v>
      </c>
      <c r="J166" s="6" t="s">
        <v>33</v>
      </c>
    </row>
    <row r="167" ht="15.75" customHeight="1">
      <c r="A167" s="6" t="s">
        <v>584</v>
      </c>
      <c r="B167" s="6" t="s">
        <v>43</v>
      </c>
      <c r="C167" s="6" t="s">
        <v>585</v>
      </c>
      <c r="D167" s="6" t="s">
        <v>45</v>
      </c>
      <c r="E167" s="6" t="s">
        <v>25</v>
      </c>
      <c r="F167" s="6" t="s">
        <v>60</v>
      </c>
      <c r="G167" s="6" t="s">
        <v>93</v>
      </c>
      <c r="H167" s="6" t="s">
        <v>374</v>
      </c>
      <c r="I167" s="6" t="s">
        <v>561</v>
      </c>
      <c r="J167" s="6" t="s">
        <v>33</v>
      </c>
    </row>
    <row r="168" ht="15.75" customHeight="1">
      <c r="A168" s="6" t="s">
        <v>586</v>
      </c>
      <c r="B168" s="6" t="s">
        <v>43</v>
      </c>
      <c r="C168" s="6" t="s">
        <v>587</v>
      </c>
      <c r="D168" s="6" t="s">
        <v>45</v>
      </c>
      <c r="E168" s="6" t="s">
        <v>25</v>
      </c>
      <c r="F168" s="6" t="s">
        <v>588</v>
      </c>
      <c r="G168" s="6" t="s">
        <v>93</v>
      </c>
      <c r="H168" s="6" t="s">
        <v>374</v>
      </c>
      <c r="I168" s="6" t="s">
        <v>331</v>
      </c>
      <c r="J168" s="6" t="s">
        <v>33</v>
      </c>
    </row>
    <row r="169" ht="15.75" customHeight="1">
      <c r="A169" s="6" t="s">
        <v>403</v>
      </c>
      <c r="B169" s="6" t="s">
        <v>43</v>
      </c>
      <c r="C169" s="6" t="s">
        <v>589</v>
      </c>
      <c r="D169" s="6" t="s">
        <v>38</v>
      </c>
      <c r="E169" s="6" t="s">
        <v>26</v>
      </c>
      <c r="F169" s="6" t="s">
        <v>590</v>
      </c>
      <c r="G169" s="6" t="s">
        <v>492</v>
      </c>
      <c r="H169" s="6" t="s">
        <v>374</v>
      </c>
      <c r="I169" s="6" t="s">
        <v>144</v>
      </c>
      <c r="J169" s="6" t="s">
        <v>33</v>
      </c>
    </row>
    <row r="170" ht="15.75" customHeight="1">
      <c r="A170" s="6" t="s">
        <v>591</v>
      </c>
      <c r="B170" s="6" t="s">
        <v>20</v>
      </c>
      <c r="C170" s="6" t="s">
        <v>592</v>
      </c>
      <c r="D170" s="6" t="s">
        <v>45</v>
      </c>
      <c r="E170" s="6" t="s">
        <v>25</v>
      </c>
      <c r="F170" s="6" t="s">
        <v>593</v>
      </c>
      <c r="G170" s="6" t="s">
        <v>432</v>
      </c>
      <c r="H170" s="6" t="s">
        <v>374</v>
      </c>
      <c r="I170" s="6" t="s">
        <v>220</v>
      </c>
      <c r="J170" s="6" t="s">
        <v>113</v>
      </c>
    </row>
    <row r="171" ht="15.75" customHeight="1">
      <c r="A171" s="6" t="s">
        <v>594</v>
      </c>
      <c r="B171" s="6" t="s">
        <v>20</v>
      </c>
      <c r="C171" s="6" t="s">
        <v>595</v>
      </c>
      <c r="D171" s="6" t="s">
        <v>45</v>
      </c>
      <c r="E171" s="6" t="s">
        <v>25</v>
      </c>
      <c r="F171" s="6" t="s">
        <v>541</v>
      </c>
      <c r="G171" s="6" t="s">
        <v>132</v>
      </c>
      <c r="H171" s="6" t="s">
        <v>374</v>
      </c>
      <c r="I171" s="6" t="s">
        <v>224</v>
      </c>
      <c r="J171" s="6" t="s">
        <v>113</v>
      </c>
    </row>
    <row r="172" ht="15.75" customHeight="1">
      <c r="A172" s="6" t="s">
        <v>170</v>
      </c>
      <c r="B172" s="6" t="s">
        <v>20</v>
      </c>
      <c r="C172" s="6" t="s">
        <v>596</v>
      </c>
      <c r="D172" s="6" t="s">
        <v>45</v>
      </c>
      <c r="E172" s="6" t="s">
        <v>25</v>
      </c>
      <c r="F172" s="6" t="s">
        <v>530</v>
      </c>
      <c r="G172" s="6" t="s">
        <v>81</v>
      </c>
      <c r="H172" s="6" t="s">
        <v>374</v>
      </c>
      <c r="I172" s="6" t="s">
        <v>597</v>
      </c>
      <c r="J172" s="6" t="s">
        <v>113</v>
      </c>
    </row>
    <row r="173" ht="15.75" customHeight="1">
      <c r="A173" s="6" t="s">
        <v>598</v>
      </c>
      <c r="B173" s="6" t="s">
        <v>43</v>
      </c>
      <c r="C173" s="6" t="s">
        <v>599</v>
      </c>
      <c r="D173" s="6" t="s">
        <v>24</v>
      </c>
      <c r="E173" s="6" t="s">
        <v>25</v>
      </c>
      <c r="F173" s="6" t="s">
        <v>600</v>
      </c>
      <c r="G173" s="6" t="s">
        <v>132</v>
      </c>
      <c r="H173" s="6" t="s">
        <v>374</v>
      </c>
      <c r="I173" s="6" t="s">
        <v>353</v>
      </c>
      <c r="J173" s="6" t="s">
        <v>113</v>
      </c>
    </row>
    <row r="174" ht="15.75" customHeight="1">
      <c r="A174" s="6" t="s">
        <v>473</v>
      </c>
      <c r="B174" s="6" t="s">
        <v>20</v>
      </c>
      <c r="C174" s="6" t="s">
        <v>601</v>
      </c>
      <c r="D174" s="6" t="s">
        <v>487</v>
      </c>
      <c r="E174" s="6" t="s">
        <v>26</v>
      </c>
      <c r="F174" s="6" t="s">
        <v>602</v>
      </c>
      <c r="G174" s="6" t="s">
        <v>603</v>
      </c>
      <c r="H174" s="6" t="s">
        <v>369</v>
      </c>
      <c r="I174" s="6" t="s">
        <v>495</v>
      </c>
      <c r="J174" s="6" t="s">
        <v>33</v>
      </c>
    </row>
    <row r="175" ht="15.75" customHeight="1">
      <c r="A175" s="6" t="s">
        <v>604</v>
      </c>
      <c r="B175" s="6" t="s">
        <v>20</v>
      </c>
      <c r="C175" s="6" t="s">
        <v>605</v>
      </c>
      <c r="D175" s="6" t="s">
        <v>57</v>
      </c>
      <c r="E175" s="6" t="s">
        <v>133</v>
      </c>
      <c r="F175" s="6" t="s">
        <v>606</v>
      </c>
      <c r="G175" s="6" t="s">
        <v>132</v>
      </c>
      <c r="H175" s="6" t="s">
        <v>369</v>
      </c>
      <c r="I175" s="6" t="s">
        <v>607</v>
      </c>
      <c r="J175" s="6" t="s">
        <v>33</v>
      </c>
    </row>
    <row r="176" ht="15.75" customHeight="1">
      <c r="A176" s="6" t="s">
        <v>210</v>
      </c>
      <c r="B176" s="6" t="s">
        <v>20</v>
      </c>
      <c r="C176" s="6" t="s">
        <v>608</v>
      </c>
      <c r="D176" s="6" t="s">
        <v>57</v>
      </c>
      <c r="E176" s="6" t="s">
        <v>25</v>
      </c>
      <c r="F176" s="6" t="s">
        <v>150</v>
      </c>
      <c r="G176" s="6" t="s">
        <v>609</v>
      </c>
      <c r="H176" s="6" t="s">
        <v>369</v>
      </c>
      <c r="I176" s="6" t="s">
        <v>170</v>
      </c>
      <c r="J176" s="6" t="s">
        <v>33</v>
      </c>
    </row>
    <row r="177" ht="15.75" customHeight="1">
      <c r="A177" s="6" t="s">
        <v>610</v>
      </c>
      <c r="B177" s="6" t="s">
        <v>43</v>
      </c>
      <c r="C177" s="6" t="s">
        <v>611</v>
      </c>
      <c r="D177" s="6" t="s">
        <v>38</v>
      </c>
      <c r="E177" s="6" t="s">
        <v>25</v>
      </c>
      <c r="F177" s="6" t="s">
        <v>612</v>
      </c>
      <c r="G177" s="6" t="s">
        <v>492</v>
      </c>
      <c r="H177" s="6" t="s">
        <v>369</v>
      </c>
      <c r="I177" s="6" t="s">
        <v>144</v>
      </c>
      <c r="J177" s="6" t="s">
        <v>33</v>
      </c>
    </row>
    <row r="178" ht="15.75" customHeight="1">
      <c r="A178" s="6" t="s">
        <v>613</v>
      </c>
      <c r="B178" s="6" t="s">
        <v>43</v>
      </c>
      <c r="C178" s="6" t="s">
        <v>614</v>
      </c>
      <c r="D178" s="6" t="s">
        <v>45</v>
      </c>
      <c r="E178" s="6" t="s">
        <v>25</v>
      </c>
      <c r="F178" s="6" t="s">
        <v>398</v>
      </c>
      <c r="G178" s="6" t="s">
        <v>107</v>
      </c>
      <c r="H178" s="6" t="s">
        <v>369</v>
      </c>
      <c r="I178" s="6" t="s">
        <v>319</v>
      </c>
      <c r="J178" s="6" t="s">
        <v>33</v>
      </c>
    </row>
    <row r="179" ht="15.75" customHeight="1">
      <c r="A179" s="6" t="s">
        <v>615</v>
      </c>
      <c r="B179" s="6" t="s">
        <v>43</v>
      </c>
      <c r="C179" s="6" t="s">
        <v>616</v>
      </c>
      <c r="D179" s="6" t="s">
        <v>45</v>
      </c>
      <c r="E179" s="6" t="s">
        <v>25</v>
      </c>
      <c r="F179" s="6" t="s">
        <v>372</v>
      </c>
      <c r="G179" s="6" t="s">
        <v>617</v>
      </c>
      <c r="H179" s="6" t="s">
        <v>369</v>
      </c>
      <c r="I179" s="6" t="s">
        <v>331</v>
      </c>
      <c r="J179" s="6" t="s">
        <v>33</v>
      </c>
    </row>
    <row r="180" ht="15.75" customHeight="1">
      <c r="A180" s="6" t="s">
        <v>618</v>
      </c>
      <c r="B180" s="6" t="s">
        <v>20</v>
      </c>
      <c r="C180" s="6" t="s">
        <v>619</v>
      </c>
      <c r="D180" s="6" t="s">
        <v>45</v>
      </c>
      <c r="E180" s="6" t="s">
        <v>25</v>
      </c>
      <c r="F180" s="6" t="s">
        <v>431</v>
      </c>
      <c r="G180" s="6" t="s">
        <v>565</v>
      </c>
      <c r="H180" s="6" t="s">
        <v>369</v>
      </c>
      <c r="I180" s="6" t="s">
        <v>185</v>
      </c>
      <c r="J180" s="6" t="s">
        <v>113</v>
      </c>
    </row>
    <row r="181" ht="15.75" customHeight="1">
      <c r="A181" s="6" t="s">
        <v>620</v>
      </c>
      <c r="B181" s="6" t="s">
        <v>43</v>
      </c>
      <c r="C181" s="6" t="s">
        <v>621</v>
      </c>
      <c r="D181" s="6" t="s">
        <v>45</v>
      </c>
      <c r="E181" s="6" t="s">
        <v>25</v>
      </c>
      <c r="F181" s="6" t="s">
        <v>102</v>
      </c>
      <c r="G181" s="6" t="s">
        <v>98</v>
      </c>
      <c r="H181" s="6" t="s">
        <v>369</v>
      </c>
      <c r="I181" s="6" t="s">
        <v>265</v>
      </c>
      <c r="J181" s="6" t="s">
        <v>113</v>
      </c>
    </row>
    <row r="182" ht="15.75" customHeight="1">
      <c r="A182" s="6" t="s">
        <v>622</v>
      </c>
      <c r="B182" s="6" t="s">
        <v>43</v>
      </c>
      <c r="C182" s="6" t="s">
        <v>623</v>
      </c>
      <c r="D182" s="6" t="s">
        <v>45</v>
      </c>
      <c r="E182" s="6" t="s">
        <v>25</v>
      </c>
      <c r="F182" s="6" t="s">
        <v>422</v>
      </c>
      <c r="G182" s="6" t="s">
        <v>617</v>
      </c>
      <c r="H182" s="6" t="s">
        <v>369</v>
      </c>
      <c r="I182" s="6" t="s">
        <v>411</v>
      </c>
      <c r="J182" s="6" t="s">
        <v>113</v>
      </c>
    </row>
    <row r="183" ht="15.75" customHeight="1">
      <c r="A183" s="6" t="s">
        <v>534</v>
      </c>
      <c r="B183" s="6" t="s">
        <v>43</v>
      </c>
      <c r="C183" s="6" t="s">
        <v>624</v>
      </c>
      <c r="D183" s="6" t="s">
        <v>45</v>
      </c>
      <c r="E183" s="6" t="s">
        <v>25</v>
      </c>
      <c r="F183" s="6" t="s">
        <v>625</v>
      </c>
      <c r="G183" s="6" t="s">
        <v>617</v>
      </c>
      <c r="H183" s="6" t="s">
        <v>369</v>
      </c>
      <c r="I183" s="6" t="s">
        <v>254</v>
      </c>
      <c r="J183" s="6" t="s">
        <v>113</v>
      </c>
    </row>
    <row r="184" ht="15.75" customHeight="1">
      <c r="A184" s="6" t="s">
        <v>626</v>
      </c>
      <c r="B184" s="6" t="s">
        <v>20</v>
      </c>
      <c r="C184" s="6" t="s">
        <v>627</v>
      </c>
      <c r="D184" s="6" t="s">
        <v>24</v>
      </c>
      <c r="E184" s="6" t="s">
        <v>25</v>
      </c>
      <c r="F184" s="6" t="s">
        <v>628</v>
      </c>
      <c r="G184" s="6" t="s">
        <v>287</v>
      </c>
      <c r="H184" s="6" t="s">
        <v>367</v>
      </c>
      <c r="I184" s="6" t="s">
        <v>331</v>
      </c>
      <c r="J184" s="6" t="s">
        <v>33</v>
      </c>
    </row>
    <row r="185" ht="15.75" customHeight="1">
      <c r="A185" s="6" t="s">
        <v>629</v>
      </c>
      <c r="B185" s="6" t="s">
        <v>20</v>
      </c>
      <c r="C185" s="6" t="s">
        <v>630</v>
      </c>
      <c r="D185" s="6" t="s">
        <v>24</v>
      </c>
      <c r="E185" s="6" t="s">
        <v>25</v>
      </c>
      <c r="F185" s="6" t="s">
        <v>154</v>
      </c>
      <c r="G185" s="6" t="s">
        <v>132</v>
      </c>
      <c r="H185" s="6" t="s">
        <v>367</v>
      </c>
      <c r="I185" s="6" t="s">
        <v>271</v>
      </c>
      <c r="J185" s="6" t="s">
        <v>33</v>
      </c>
    </row>
    <row r="186" ht="15.75" customHeight="1">
      <c r="A186" s="6" t="s">
        <v>631</v>
      </c>
      <c r="B186" s="6" t="s">
        <v>20</v>
      </c>
      <c r="C186" s="6" t="s">
        <v>632</v>
      </c>
      <c r="D186" s="6" t="s">
        <v>57</v>
      </c>
      <c r="E186" s="6" t="s">
        <v>133</v>
      </c>
      <c r="F186" s="6" t="s">
        <v>247</v>
      </c>
      <c r="G186" s="6" t="s">
        <v>132</v>
      </c>
      <c r="H186" s="6" t="s">
        <v>367</v>
      </c>
      <c r="I186" s="6" t="s">
        <v>633</v>
      </c>
      <c r="J186" s="6" t="s">
        <v>33</v>
      </c>
    </row>
    <row r="187" ht="15.75" customHeight="1">
      <c r="A187" s="6" t="s">
        <v>634</v>
      </c>
      <c r="B187" s="6" t="s">
        <v>20</v>
      </c>
      <c r="C187" s="6" t="s">
        <v>635</v>
      </c>
      <c r="D187" s="6" t="s">
        <v>24</v>
      </c>
      <c r="E187" s="6" t="s">
        <v>25</v>
      </c>
      <c r="F187" s="6" t="s">
        <v>509</v>
      </c>
      <c r="G187" s="6" t="s">
        <v>636</v>
      </c>
      <c r="H187" s="6" t="s">
        <v>367</v>
      </c>
      <c r="I187" s="6" t="s">
        <v>203</v>
      </c>
      <c r="J187" s="6" t="s">
        <v>33</v>
      </c>
    </row>
    <row r="188" ht="15.75" customHeight="1">
      <c r="A188" s="6" t="s">
        <v>637</v>
      </c>
      <c r="B188" s="6" t="s">
        <v>20</v>
      </c>
      <c r="C188" s="6" t="s">
        <v>638</v>
      </c>
      <c r="D188" s="6" t="s">
        <v>38</v>
      </c>
      <c r="E188" s="6" t="s">
        <v>26</v>
      </c>
      <c r="F188" s="6" t="s">
        <v>639</v>
      </c>
      <c r="G188" s="6" t="s">
        <v>157</v>
      </c>
      <c r="H188" s="6" t="s">
        <v>367</v>
      </c>
      <c r="I188" s="6" t="s">
        <v>114</v>
      </c>
      <c r="J188" s="6" t="s">
        <v>33</v>
      </c>
    </row>
    <row r="189" ht="15.75" customHeight="1">
      <c r="A189" s="6" t="s">
        <v>640</v>
      </c>
      <c r="B189" s="6" t="s">
        <v>43</v>
      </c>
      <c r="C189" s="6" t="s">
        <v>641</v>
      </c>
      <c r="D189" s="6" t="s">
        <v>45</v>
      </c>
      <c r="E189" s="6" t="s">
        <v>25</v>
      </c>
      <c r="F189" s="6" t="s">
        <v>642</v>
      </c>
      <c r="G189" s="6" t="s">
        <v>40</v>
      </c>
      <c r="H189" s="6" t="s">
        <v>367</v>
      </c>
      <c r="I189" s="6" t="s">
        <v>643</v>
      </c>
      <c r="J189" s="6" t="s">
        <v>33</v>
      </c>
    </row>
    <row r="190" ht="15.75" customHeight="1">
      <c r="A190" s="6" t="s">
        <v>644</v>
      </c>
      <c r="B190" s="6" t="s">
        <v>43</v>
      </c>
      <c r="C190" s="6" t="s">
        <v>645</v>
      </c>
      <c r="D190" s="6" t="s">
        <v>45</v>
      </c>
      <c r="E190" s="6" t="s">
        <v>25</v>
      </c>
      <c r="F190" s="6" t="s">
        <v>89</v>
      </c>
      <c r="G190" s="6" t="s">
        <v>646</v>
      </c>
      <c r="H190" s="6" t="s">
        <v>367</v>
      </c>
      <c r="I190" s="6" t="s">
        <v>258</v>
      </c>
      <c r="J190" s="6" t="s">
        <v>33</v>
      </c>
    </row>
    <row r="191" ht="15.75" customHeight="1">
      <c r="A191" s="6" t="s">
        <v>65</v>
      </c>
      <c r="B191" s="6" t="s">
        <v>43</v>
      </c>
      <c r="C191" s="6" t="s">
        <v>647</v>
      </c>
      <c r="D191" s="6" t="s">
        <v>57</v>
      </c>
      <c r="E191" s="6" t="s">
        <v>25</v>
      </c>
      <c r="F191" s="6" t="s">
        <v>222</v>
      </c>
      <c r="G191" s="6" t="s">
        <v>107</v>
      </c>
      <c r="H191" s="6" t="s">
        <v>367</v>
      </c>
      <c r="I191" s="6" t="s">
        <v>211</v>
      </c>
      <c r="J191" s="6" t="s">
        <v>33</v>
      </c>
    </row>
    <row r="192" ht="15.75" customHeight="1">
      <c r="A192" s="6" t="s">
        <v>476</v>
      </c>
      <c r="B192" s="6" t="s">
        <v>43</v>
      </c>
      <c r="C192" s="6" t="s">
        <v>648</v>
      </c>
      <c r="D192" s="6" t="s">
        <v>45</v>
      </c>
      <c r="E192" s="6" t="s">
        <v>25</v>
      </c>
      <c r="F192" s="6" t="s">
        <v>107</v>
      </c>
      <c r="G192" s="6" t="s">
        <v>617</v>
      </c>
      <c r="H192" s="6" t="s">
        <v>367</v>
      </c>
      <c r="I192" s="6" t="s">
        <v>649</v>
      </c>
      <c r="J192" s="6" t="s">
        <v>33</v>
      </c>
    </row>
    <row r="193" ht="15.75" customHeight="1">
      <c r="A193" s="6" t="s">
        <v>341</v>
      </c>
      <c r="B193" s="6" t="s">
        <v>20</v>
      </c>
      <c r="C193" s="6" t="s">
        <v>650</v>
      </c>
      <c r="D193" s="6" t="s">
        <v>45</v>
      </c>
      <c r="E193" s="6" t="s">
        <v>25</v>
      </c>
      <c r="F193" s="6" t="s">
        <v>482</v>
      </c>
      <c r="G193" s="6" t="s">
        <v>98</v>
      </c>
      <c r="H193" s="6" t="s">
        <v>367</v>
      </c>
      <c r="I193" s="6" t="s">
        <v>620</v>
      </c>
      <c r="J193" s="6" t="s">
        <v>113</v>
      </c>
    </row>
    <row r="194" ht="15.75" customHeight="1">
      <c r="A194" s="6" t="s">
        <v>365</v>
      </c>
      <c r="B194" s="6" t="s">
        <v>43</v>
      </c>
      <c r="C194" s="6" t="s">
        <v>651</v>
      </c>
      <c r="D194" s="6" t="s">
        <v>45</v>
      </c>
      <c r="E194" s="6" t="s">
        <v>25</v>
      </c>
      <c r="F194" s="6" t="s">
        <v>364</v>
      </c>
      <c r="G194" s="6" t="s">
        <v>48</v>
      </c>
      <c r="H194" s="6" t="s">
        <v>367</v>
      </c>
      <c r="I194" s="6" t="s">
        <v>233</v>
      </c>
      <c r="J194" s="6" t="s">
        <v>113</v>
      </c>
    </row>
    <row r="195" ht="15.75" customHeight="1">
      <c r="A195" s="6" t="s">
        <v>652</v>
      </c>
      <c r="B195" s="6" t="s">
        <v>43</v>
      </c>
      <c r="C195" s="6" t="s">
        <v>653</v>
      </c>
      <c r="D195" s="6" t="s">
        <v>24</v>
      </c>
      <c r="E195" s="6" t="s">
        <v>25</v>
      </c>
      <c r="F195" s="6" t="s">
        <v>654</v>
      </c>
      <c r="G195" s="6" t="s">
        <v>287</v>
      </c>
      <c r="H195" s="6" t="s">
        <v>367</v>
      </c>
      <c r="I195" s="6" t="s">
        <v>656</v>
      </c>
      <c r="J195" s="6" t="s">
        <v>113</v>
      </c>
    </row>
    <row r="196" ht="15.75" customHeight="1">
      <c r="A196" s="6" t="s">
        <v>657</v>
      </c>
      <c r="B196" s="6" t="s">
        <v>43</v>
      </c>
      <c r="C196" s="6" t="s">
        <v>658</v>
      </c>
      <c r="D196" s="6" t="s">
        <v>45</v>
      </c>
      <c r="E196" s="6" t="s">
        <v>25</v>
      </c>
      <c r="F196" s="6" t="s">
        <v>291</v>
      </c>
      <c r="G196" s="6" t="s">
        <v>98</v>
      </c>
      <c r="H196" s="6" t="s">
        <v>367</v>
      </c>
      <c r="I196" s="6" t="s">
        <v>41</v>
      </c>
      <c r="J196" s="6" t="s">
        <v>113</v>
      </c>
    </row>
    <row r="197" ht="15.75" customHeight="1">
      <c r="A197" s="6" t="s">
        <v>659</v>
      </c>
      <c r="B197" s="6" t="s">
        <v>43</v>
      </c>
      <c r="C197" s="6" t="s">
        <v>660</v>
      </c>
      <c r="D197" s="6" t="s">
        <v>38</v>
      </c>
      <c r="E197" s="6" t="s">
        <v>25</v>
      </c>
      <c r="F197" s="6" t="s">
        <v>661</v>
      </c>
      <c r="G197" s="6" t="s">
        <v>48</v>
      </c>
      <c r="H197" s="6" t="s">
        <v>367</v>
      </c>
      <c r="I197" s="6" t="s">
        <v>663</v>
      </c>
      <c r="J197" s="6" t="s">
        <v>113</v>
      </c>
    </row>
    <row r="198" ht="15.75" customHeight="1">
      <c r="A198" s="6" t="s">
        <v>664</v>
      </c>
      <c r="B198" s="6" t="s">
        <v>20</v>
      </c>
      <c r="C198" s="6" t="s">
        <v>665</v>
      </c>
      <c r="D198" s="6" t="s">
        <v>24</v>
      </c>
      <c r="E198" s="6" t="s">
        <v>26</v>
      </c>
      <c r="F198" s="6" t="s">
        <v>666</v>
      </c>
      <c r="G198" s="6" t="s">
        <v>593</v>
      </c>
      <c r="H198" s="6" t="s">
        <v>197</v>
      </c>
      <c r="I198" s="6" t="s">
        <v>226</v>
      </c>
      <c r="J198" s="6" t="s">
        <v>33</v>
      </c>
    </row>
    <row r="199" ht="15.75" customHeight="1">
      <c r="A199" s="6" t="s">
        <v>667</v>
      </c>
      <c r="B199" s="6" t="s">
        <v>20</v>
      </c>
      <c r="C199" s="6" t="s">
        <v>668</v>
      </c>
      <c r="D199" s="6" t="s">
        <v>178</v>
      </c>
      <c r="E199" s="6" t="s">
        <v>26</v>
      </c>
      <c r="F199" s="6" t="s">
        <v>669</v>
      </c>
      <c r="G199" s="6" t="s">
        <v>670</v>
      </c>
      <c r="H199" s="6" t="s">
        <v>197</v>
      </c>
      <c r="I199" s="6" t="s">
        <v>561</v>
      </c>
      <c r="J199" s="6" t="s">
        <v>33</v>
      </c>
    </row>
    <row r="200" ht="15.75" customHeight="1">
      <c r="A200" s="6" t="s">
        <v>189</v>
      </c>
      <c r="B200" s="6" t="s">
        <v>20</v>
      </c>
      <c r="C200" s="6" t="s">
        <v>671</v>
      </c>
      <c r="D200" s="6" t="s">
        <v>38</v>
      </c>
      <c r="E200" s="6" t="s">
        <v>26</v>
      </c>
      <c r="F200" s="6" t="s">
        <v>672</v>
      </c>
      <c r="G200" s="6" t="s">
        <v>180</v>
      </c>
      <c r="H200" s="6" t="s">
        <v>197</v>
      </c>
      <c r="I200" s="6" t="s">
        <v>319</v>
      </c>
      <c r="J200" s="6" t="s">
        <v>33</v>
      </c>
    </row>
    <row r="201" ht="15.75" customHeight="1">
      <c r="A201" s="6" t="s">
        <v>673</v>
      </c>
      <c r="B201" s="6" t="s">
        <v>20</v>
      </c>
      <c r="C201" s="6" t="s">
        <v>674</v>
      </c>
      <c r="D201" s="6" t="s">
        <v>213</v>
      </c>
      <c r="E201" s="6" t="s">
        <v>26</v>
      </c>
      <c r="F201" s="6" t="s">
        <v>675</v>
      </c>
      <c r="G201" s="6" t="s">
        <v>329</v>
      </c>
      <c r="H201" s="6" t="s">
        <v>197</v>
      </c>
      <c r="I201" s="6" t="s">
        <v>95</v>
      </c>
      <c r="J201" s="6" t="s">
        <v>33</v>
      </c>
    </row>
    <row r="202" ht="15.75" customHeight="1">
      <c r="A202" s="6" t="s">
        <v>676</v>
      </c>
      <c r="B202" s="6" t="s">
        <v>20</v>
      </c>
      <c r="C202" s="6" t="s">
        <v>677</v>
      </c>
      <c r="D202" s="6" t="s">
        <v>45</v>
      </c>
      <c r="E202" s="6" t="s">
        <v>25</v>
      </c>
      <c r="F202" s="6" t="s">
        <v>678</v>
      </c>
      <c r="G202" s="6" t="s">
        <v>340</v>
      </c>
      <c r="H202" s="6" t="s">
        <v>197</v>
      </c>
      <c r="I202" s="6" t="s">
        <v>544</v>
      </c>
      <c r="J202" s="6" t="s">
        <v>33</v>
      </c>
    </row>
    <row r="203" ht="15.75" customHeight="1">
      <c r="A203" s="6" t="s">
        <v>679</v>
      </c>
      <c r="B203" s="6" t="s">
        <v>20</v>
      </c>
      <c r="C203" s="6" t="s">
        <v>680</v>
      </c>
      <c r="D203" s="6" t="s">
        <v>24</v>
      </c>
      <c r="E203" s="6" t="s">
        <v>25</v>
      </c>
      <c r="F203" s="6" t="s">
        <v>681</v>
      </c>
      <c r="G203" s="6" t="s">
        <v>107</v>
      </c>
      <c r="H203" s="6" t="s">
        <v>197</v>
      </c>
      <c r="I203" s="6" t="s">
        <v>252</v>
      </c>
      <c r="J203" s="6" t="s">
        <v>33</v>
      </c>
    </row>
    <row r="204" ht="15.75" customHeight="1">
      <c r="A204" s="6" t="s">
        <v>682</v>
      </c>
      <c r="B204" s="6" t="s">
        <v>20</v>
      </c>
      <c r="C204" s="6" t="s">
        <v>683</v>
      </c>
      <c r="D204" s="6" t="s">
        <v>45</v>
      </c>
      <c r="E204" s="6" t="s">
        <v>25</v>
      </c>
      <c r="F204" s="6" t="s">
        <v>222</v>
      </c>
      <c r="G204" s="6" t="s">
        <v>132</v>
      </c>
      <c r="H204" s="6" t="s">
        <v>197</v>
      </c>
      <c r="I204" s="6" t="s">
        <v>244</v>
      </c>
      <c r="J204" s="6" t="s">
        <v>33</v>
      </c>
    </row>
    <row r="205" ht="15.75" customHeight="1">
      <c r="A205" s="6" t="s">
        <v>684</v>
      </c>
      <c r="B205" s="6" t="s">
        <v>20</v>
      </c>
      <c r="C205" s="6" t="s">
        <v>685</v>
      </c>
      <c r="D205" s="6" t="s">
        <v>24</v>
      </c>
      <c r="E205" s="6" t="s">
        <v>25</v>
      </c>
      <c r="F205" s="6" t="s">
        <v>686</v>
      </c>
      <c r="G205" s="6" t="s">
        <v>107</v>
      </c>
      <c r="H205" s="6" t="s">
        <v>197</v>
      </c>
      <c r="I205" s="6" t="s">
        <v>319</v>
      </c>
      <c r="J205" s="6" t="s">
        <v>33</v>
      </c>
    </row>
    <row r="206" ht="15.75" customHeight="1">
      <c r="A206" s="6" t="s">
        <v>456</v>
      </c>
      <c r="B206" s="6" t="s">
        <v>20</v>
      </c>
      <c r="C206" s="6" t="s">
        <v>687</v>
      </c>
      <c r="D206" s="6" t="s">
        <v>38</v>
      </c>
      <c r="E206" s="6" t="s">
        <v>26</v>
      </c>
      <c r="F206" s="6" t="s">
        <v>688</v>
      </c>
      <c r="G206" s="6" t="s">
        <v>689</v>
      </c>
      <c r="H206" s="6" t="s">
        <v>197</v>
      </c>
      <c r="I206" s="6" t="s">
        <v>690</v>
      </c>
      <c r="J206" s="6" t="s">
        <v>33</v>
      </c>
    </row>
    <row r="207" ht="15.75" customHeight="1">
      <c r="A207" s="6" t="s">
        <v>691</v>
      </c>
      <c r="B207" s="6" t="s">
        <v>20</v>
      </c>
      <c r="C207" s="6" t="s">
        <v>692</v>
      </c>
      <c r="D207" s="6" t="s">
        <v>45</v>
      </c>
      <c r="E207" s="6" t="s">
        <v>133</v>
      </c>
      <c r="F207" s="6" t="s">
        <v>693</v>
      </c>
      <c r="G207" s="6" t="s">
        <v>132</v>
      </c>
      <c r="H207" s="6" t="s">
        <v>197</v>
      </c>
      <c r="I207" s="6" t="s">
        <v>694</v>
      </c>
      <c r="J207" s="6" t="s">
        <v>33</v>
      </c>
    </row>
    <row r="208" ht="15.75" customHeight="1">
      <c r="A208" s="6" t="s">
        <v>330</v>
      </c>
      <c r="B208" s="6" t="s">
        <v>20</v>
      </c>
      <c r="C208" s="6" t="s">
        <v>695</v>
      </c>
      <c r="D208" s="6" t="s">
        <v>24</v>
      </c>
      <c r="E208" s="6" t="s">
        <v>25</v>
      </c>
      <c r="F208" s="6" t="s">
        <v>126</v>
      </c>
      <c r="G208" s="6" t="s">
        <v>492</v>
      </c>
      <c r="H208" s="6" t="s">
        <v>197</v>
      </c>
      <c r="I208" s="6" t="s">
        <v>389</v>
      </c>
      <c r="J208" s="6" t="s">
        <v>33</v>
      </c>
    </row>
    <row r="209" ht="15.75" customHeight="1">
      <c r="A209" s="6" t="s">
        <v>643</v>
      </c>
      <c r="B209" s="6" t="s">
        <v>43</v>
      </c>
      <c r="C209" s="6" t="s">
        <v>696</v>
      </c>
      <c r="D209" s="6" t="s">
        <v>45</v>
      </c>
      <c r="E209" s="6" t="s">
        <v>25</v>
      </c>
      <c r="F209" s="6" t="s">
        <v>102</v>
      </c>
      <c r="G209" s="6" t="s">
        <v>218</v>
      </c>
      <c r="H209" s="6" t="s">
        <v>197</v>
      </c>
      <c r="I209" s="6" t="s">
        <v>129</v>
      </c>
      <c r="J209" s="6" t="s">
        <v>33</v>
      </c>
    </row>
    <row r="210" ht="15.75" customHeight="1">
      <c r="A210" s="6" t="s">
        <v>479</v>
      </c>
      <c r="B210" s="6" t="s">
        <v>43</v>
      </c>
      <c r="C210" s="6" t="s">
        <v>697</v>
      </c>
      <c r="D210" s="6" t="s">
        <v>57</v>
      </c>
      <c r="E210" s="6" t="s">
        <v>25</v>
      </c>
      <c r="F210" s="6" t="s">
        <v>698</v>
      </c>
      <c r="G210" s="6" t="s">
        <v>617</v>
      </c>
      <c r="H210" s="6" t="s">
        <v>197</v>
      </c>
      <c r="I210" s="6" t="s">
        <v>162</v>
      </c>
      <c r="J210" s="6" t="s">
        <v>33</v>
      </c>
    </row>
    <row r="211" ht="15.75" customHeight="1">
      <c r="A211" s="6" t="s">
        <v>699</v>
      </c>
      <c r="B211" s="6" t="s">
        <v>20</v>
      </c>
      <c r="C211" s="6" t="s">
        <v>700</v>
      </c>
      <c r="D211" s="6" t="s">
        <v>24</v>
      </c>
      <c r="E211" s="6" t="s">
        <v>25</v>
      </c>
      <c r="F211" s="6" t="s">
        <v>701</v>
      </c>
      <c r="G211" s="6" t="s">
        <v>107</v>
      </c>
      <c r="H211" s="6" t="s">
        <v>197</v>
      </c>
      <c r="I211" s="6" t="s">
        <v>702</v>
      </c>
      <c r="J211" s="6" t="s">
        <v>113</v>
      </c>
    </row>
    <row r="212" ht="15.75" customHeight="1">
      <c r="A212" s="6" t="s">
        <v>703</v>
      </c>
      <c r="B212" s="6" t="s">
        <v>20</v>
      </c>
      <c r="C212" s="6" t="s">
        <v>704</v>
      </c>
      <c r="D212" s="6" t="s">
        <v>24</v>
      </c>
      <c r="E212" s="6" t="s">
        <v>25</v>
      </c>
      <c r="F212" s="6" t="s">
        <v>705</v>
      </c>
      <c r="G212" s="6" t="s">
        <v>132</v>
      </c>
      <c r="H212" s="6" t="s">
        <v>197</v>
      </c>
      <c r="I212" s="6" t="s">
        <v>433</v>
      </c>
      <c r="J212" s="6" t="s">
        <v>113</v>
      </c>
    </row>
    <row r="213" ht="15.75" customHeight="1">
      <c r="A213" s="6" t="s">
        <v>706</v>
      </c>
      <c r="B213" s="6" t="s">
        <v>20</v>
      </c>
      <c r="C213" s="6" t="s">
        <v>707</v>
      </c>
      <c r="D213" s="6" t="s">
        <v>24</v>
      </c>
      <c r="E213" s="6" t="s">
        <v>25</v>
      </c>
      <c r="F213" s="6" t="s">
        <v>708</v>
      </c>
      <c r="G213" s="6" t="s">
        <v>107</v>
      </c>
      <c r="H213" s="6" t="s">
        <v>197</v>
      </c>
      <c r="I213" s="6" t="s">
        <v>306</v>
      </c>
      <c r="J213" s="6" t="s">
        <v>113</v>
      </c>
    </row>
    <row r="214" ht="15.75" customHeight="1">
      <c r="A214" s="6" t="s">
        <v>709</v>
      </c>
      <c r="B214" s="6" t="s">
        <v>20</v>
      </c>
      <c r="C214" s="6" t="s">
        <v>710</v>
      </c>
      <c r="D214" s="6" t="s">
        <v>57</v>
      </c>
      <c r="E214" s="6" t="s">
        <v>133</v>
      </c>
      <c r="F214" s="6" t="s">
        <v>247</v>
      </c>
      <c r="G214" s="6" t="s">
        <v>132</v>
      </c>
      <c r="H214" s="6" t="s">
        <v>197</v>
      </c>
      <c r="I214" s="6" t="s">
        <v>711</v>
      </c>
      <c r="J214" s="6" t="s">
        <v>113</v>
      </c>
    </row>
    <row r="215" ht="15.75" customHeight="1">
      <c r="A215" s="6" t="s">
        <v>663</v>
      </c>
      <c r="B215" s="6" t="s">
        <v>43</v>
      </c>
      <c r="C215" s="6" t="s">
        <v>712</v>
      </c>
      <c r="D215" s="6" t="s">
        <v>45</v>
      </c>
      <c r="E215" s="6" t="s">
        <v>25</v>
      </c>
      <c r="F215" s="6" t="s">
        <v>636</v>
      </c>
      <c r="G215" s="6" t="s">
        <v>361</v>
      </c>
      <c r="H215" s="6" t="s">
        <v>197</v>
      </c>
      <c r="I215" s="6" t="s">
        <v>95</v>
      </c>
      <c r="J215" s="6" t="s">
        <v>113</v>
      </c>
    </row>
    <row r="216" ht="15.75" customHeight="1">
      <c r="A216" s="6" t="s">
        <v>713</v>
      </c>
      <c r="B216" s="6" t="s">
        <v>43</v>
      </c>
      <c r="C216" s="6" t="s">
        <v>714</v>
      </c>
      <c r="D216" s="6" t="s">
        <v>45</v>
      </c>
      <c r="E216" s="6" t="s">
        <v>25</v>
      </c>
      <c r="F216" s="6" t="s">
        <v>232</v>
      </c>
      <c r="G216" s="6" t="s">
        <v>161</v>
      </c>
      <c r="H216" s="6" t="s">
        <v>197</v>
      </c>
      <c r="I216" s="6" t="s">
        <v>86</v>
      </c>
      <c r="J216" s="6" t="s">
        <v>113</v>
      </c>
    </row>
    <row r="217" ht="15.75" customHeight="1">
      <c r="A217" s="6" t="s">
        <v>702</v>
      </c>
      <c r="B217" s="6" t="s">
        <v>20</v>
      </c>
      <c r="C217" s="6" t="s">
        <v>715</v>
      </c>
      <c r="D217" s="6" t="s">
        <v>24</v>
      </c>
      <c r="E217" s="6" t="s">
        <v>25</v>
      </c>
      <c r="F217" s="6" t="s">
        <v>716</v>
      </c>
      <c r="G217" s="6" t="s">
        <v>287</v>
      </c>
      <c r="H217" s="6" t="s">
        <v>362</v>
      </c>
      <c r="I217" s="6" t="s">
        <v>331</v>
      </c>
      <c r="J217" s="6" t="s">
        <v>33</v>
      </c>
    </row>
    <row r="218" ht="15.75" customHeight="1">
      <c r="A218" s="6" t="s">
        <v>717</v>
      </c>
      <c r="B218" s="6" t="s">
        <v>20</v>
      </c>
      <c r="C218" s="6" t="s">
        <v>718</v>
      </c>
      <c r="D218" s="6" t="s">
        <v>38</v>
      </c>
      <c r="E218" s="6" t="s">
        <v>25</v>
      </c>
      <c r="F218" s="6" t="s">
        <v>719</v>
      </c>
      <c r="G218" s="6" t="s">
        <v>116</v>
      </c>
      <c r="H218" s="6" t="s">
        <v>362</v>
      </c>
      <c r="I218" s="6" t="s">
        <v>542</v>
      </c>
      <c r="J218" s="6" t="s">
        <v>33</v>
      </c>
    </row>
    <row r="219" ht="15.75" customHeight="1">
      <c r="A219" s="6" t="s">
        <v>720</v>
      </c>
      <c r="B219" s="6" t="s">
        <v>20</v>
      </c>
      <c r="C219" s="6" t="s">
        <v>721</v>
      </c>
      <c r="D219" s="6" t="s">
        <v>24</v>
      </c>
      <c r="E219" s="6" t="s">
        <v>25</v>
      </c>
      <c r="F219" s="6" t="s">
        <v>722</v>
      </c>
      <c r="G219" s="6" t="s">
        <v>287</v>
      </c>
      <c r="H219" s="6" t="s">
        <v>362</v>
      </c>
      <c r="I219" s="6" t="s">
        <v>118</v>
      </c>
      <c r="J219" s="6" t="s">
        <v>33</v>
      </c>
    </row>
    <row r="220" ht="15.75" customHeight="1">
      <c r="A220" s="6" t="s">
        <v>723</v>
      </c>
      <c r="B220" s="6" t="s">
        <v>20</v>
      </c>
      <c r="C220" s="6" t="s">
        <v>724</v>
      </c>
      <c r="D220" s="6" t="s">
        <v>45</v>
      </c>
      <c r="E220" s="6" t="s">
        <v>25</v>
      </c>
      <c r="F220" s="6" t="s">
        <v>725</v>
      </c>
      <c r="G220" s="6" t="s">
        <v>132</v>
      </c>
      <c r="H220" s="6" t="s">
        <v>362</v>
      </c>
      <c r="I220" s="6" t="s">
        <v>198</v>
      </c>
      <c r="J220" s="6" t="s">
        <v>33</v>
      </c>
    </row>
    <row r="221" ht="15.75" customHeight="1">
      <c r="A221" s="6" t="s">
        <v>726</v>
      </c>
      <c r="B221" s="6" t="s">
        <v>20</v>
      </c>
      <c r="C221" s="6" t="s">
        <v>727</v>
      </c>
      <c r="D221" s="6" t="s">
        <v>45</v>
      </c>
      <c r="E221" s="6" t="s">
        <v>25</v>
      </c>
      <c r="F221" s="6" t="s">
        <v>600</v>
      </c>
      <c r="G221" s="6" t="s">
        <v>287</v>
      </c>
      <c r="H221" s="6" t="s">
        <v>362</v>
      </c>
      <c r="I221" s="6" t="s">
        <v>369</v>
      </c>
      <c r="J221" s="6" t="s">
        <v>33</v>
      </c>
    </row>
    <row r="222" ht="15.75" customHeight="1">
      <c r="A222" s="6" t="s">
        <v>728</v>
      </c>
      <c r="B222" s="6" t="s">
        <v>43</v>
      </c>
      <c r="C222" s="6" t="s">
        <v>729</v>
      </c>
      <c r="D222" s="6" t="s">
        <v>45</v>
      </c>
      <c r="E222" s="6" t="s">
        <v>25</v>
      </c>
      <c r="F222" s="6" t="s">
        <v>102</v>
      </c>
      <c r="G222" s="6" t="s">
        <v>730</v>
      </c>
      <c r="H222" s="6" t="s">
        <v>362</v>
      </c>
      <c r="I222" s="6" t="s">
        <v>127</v>
      </c>
      <c r="J222" s="6" t="s">
        <v>33</v>
      </c>
    </row>
    <row r="223" ht="15.75" customHeight="1">
      <c r="A223" s="6" t="s">
        <v>731</v>
      </c>
      <c r="B223" s="6" t="s">
        <v>43</v>
      </c>
      <c r="C223" s="6" t="s">
        <v>732</v>
      </c>
      <c r="D223" s="6" t="s">
        <v>24</v>
      </c>
      <c r="E223" s="6" t="s">
        <v>25</v>
      </c>
      <c r="F223" s="6" t="s">
        <v>116</v>
      </c>
      <c r="G223" s="6" t="s">
        <v>340</v>
      </c>
      <c r="H223" s="6" t="s">
        <v>362</v>
      </c>
      <c r="I223" s="6" t="s">
        <v>733</v>
      </c>
      <c r="J223" s="6" t="s">
        <v>33</v>
      </c>
    </row>
    <row r="224" ht="15.75" customHeight="1">
      <c r="A224" s="6" t="s">
        <v>734</v>
      </c>
      <c r="B224" s="6" t="s">
        <v>43</v>
      </c>
      <c r="C224" s="6" t="s">
        <v>735</v>
      </c>
      <c r="D224" s="6" t="s">
        <v>57</v>
      </c>
      <c r="E224" s="6" t="s">
        <v>25</v>
      </c>
      <c r="F224" s="6" t="s">
        <v>250</v>
      </c>
      <c r="G224" s="6" t="s">
        <v>617</v>
      </c>
      <c r="H224" s="6" t="s">
        <v>362</v>
      </c>
      <c r="I224" s="6" t="s">
        <v>138</v>
      </c>
      <c r="J224" s="6" t="s">
        <v>33</v>
      </c>
    </row>
    <row r="225" ht="15.75" customHeight="1">
      <c r="A225" s="6" t="s">
        <v>736</v>
      </c>
      <c r="B225" s="6" t="s">
        <v>43</v>
      </c>
      <c r="C225" s="6" t="s">
        <v>737</v>
      </c>
      <c r="D225" s="6" t="s">
        <v>45</v>
      </c>
      <c r="E225" s="6" t="s">
        <v>25</v>
      </c>
      <c r="F225" s="6" t="s">
        <v>388</v>
      </c>
      <c r="G225" s="6" t="s">
        <v>617</v>
      </c>
      <c r="H225" s="6" t="s">
        <v>362</v>
      </c>
      <c r="I225" s="6" t="s">
        <v>94</v>
      </c>
      <c r="J225" s="6" t="s">
        <v>33</v>
      </c>
    </row>
    <row r="226" ht="15.75" customHeight="1">
      <c r="A226" s="6" t="s">
        <v>738</v>
      </c>
      <c r="B226" s="6" t="s">
        <v>43</v>
      </c>
      <c r="C226" s="6" t="s">
        <v>739</v>
      </c>
      <c r="D226" s="6" t="s">
        <v>24</v>
      </c>
      <c r="E226" s="6" t="s">
        <v>25</v>
      </c>
      <c r="F226" s="6" t="s">
        <v>60</v>
      </c>
      <c r="G226" s="6" t="s">
        <v>98</v>
      </c>
      <c r="H226" s="6" t="s">
        <v>362</v>
      </c>
      <c r="I226" s="6" t="s">
        <v>94</v>
      </c>
      <c r="J226" s="6" t="s">
        <v>33</v>
      </c>
    </row>
    <row r="227" ht="15.75" customHeight="1">
      <c r="A227" s="6" t="s">
        <v>740</v>
      </c>
      <c r="B227" s="6" t="s">
        <v>43</v>
      </c>
      <c r="C227" s="6" t="s">
        <v>741</v>
      </c>
      <c r="D227" s="6" t="s">
        <v>38</v>
      </c>
      <c r="E227" s="6" t="s">
        <v>25</v>
      </c>
      <c r="F227" s="6" t="s">
        <v>240</v>
      </c>
      <c r="G227" s="6" t="s">
        <v>287</v>
      </c>
      <c r="H227" s="6" t="s">
        <v>362</v>
      </c>
      <c r="I227" s="6" t="s">
        <v>54</v>
      </c>
      <c r="J227" s="6" t="s">
        <v>33</v>
      </c>
    </row>
    <row r="228" ht="15.75" customHeight="1">
      <c r="A228" s="6" t="s">
        <v>742</v>
      </c>
      <c r="B228" s="6" t="s">
        <v>43</v>
      </c>
      <c r="C228" s="6" t="s">
        <v>743</v>
      </c>
      <c r="D228" s="6" t="s">
        <v>45</v>
      </c>
      <c r="E228" s="6" t="s">
        <v>25</v>
      </c>
      <c r="F228" s="6" t="s">
        <v>286</v>
      </c>
      <c r="G228" s="6" t="s">
        <v>48</v>
      </c>
      <c r="H228" s="6" t="s">
        <v>362</v>
      </c>
      <c r="I228" s="6" t="s">
        <v>104</v>
      </c>
      <c r="J228" s="6" t="s">
        <v>33</v>
      </c>
    </row>
    <row r="229" ht="15.75" customHeight="1">
      <c r="A229" s="6" t="s">
        <v>254</v>
      </c>
      <c r="B229" s="6" t="s">
        <v>43</v>
      </c>
      <c r="C229" s="6" t="s">
        <v>744</v>
      </c>
      <c r="D229" s="6" t="s">
        <v>24</v>
      </c>
      <c r="E229" s="6" t="s">
        <v>25</v>
      </c>
      <c r="F229" s="6" t="s">
        <v>745</v>
      </c>
      <c r="G229" s="6" t="s">
        <v>117</v>
      </c>
      <c r="H229" s="6" t="s">
        <v>362</v>
      </c>
      <c r="I229" s="6" t="s">
        <v>266</v>
      </c>
      <c r="J229" s="6" t="s">
        <v>33</v>
      </c>
    </row>
    <row r="230" ht="15.75" customHeight="1">
      <c r="A230" s="6" t="s">
        <v>483</v>
      </c>
      <c r="B230" s="6" t="s">
        <v>43</v>
      </c>
      <c r="C230" s="6" t="s">
        <v>746</v>
      </c>
      <c r="D230" s="6" t="s">
        <v>45</v>
      </c>
      <c r="E230" s="6" t="s">
        <v>25</v>
      </c>
      <c r="F230" s="6" t="s">
        <v>492</v>
      </c>
      <c r="G230" s="6" t="s">
        <v>617</v>
      </c>
      <c r="H230" s="6" t="s">
        <v>362</v>
      </c>
      <c r="I230" s="6" t="s">
        <v>747</v>
      </c>
      <c r="J230" s="6" t="s">
        <v>33</v>
      </c>
    </row>
    <row r="231" ht="15.75" customHeight="1">
      <c r="A231" s="6" t="s">
        <v>748</v>
      </c>
      <c r="B231" s="6" t="s">
        <v>20</v>
      </c>
      <c r="C231" s="6" t="s">
        <v>641</v>
      </c>
      <c r="D231" s="6" t="s">
        <v>24</v>
      </c>
      <c r="E231" s="6" t="s">
        <v>25</v>
      </c>
      <c r="F231" s="6" t="s">
        <v>300</v>
      </c>
      <c r="G231" s="6" t="s">
        <v>132</v>
      </c>
      <c r="H231" s="6" t="s">
        <v>362</v>
      </c>
      <c r="I231" s="6" t="s">
        <v>749</v>
      </c>
      <c r="J231" s="6" t="s">
        <v>113</v>
      </c>
    </row>
    <row r="232" ht="15.75" customHeight="1">
      <c r="A232" s="6" t="s">
        <v>656</v>
      </c>
      <c r="B232" s="6" t="s">
        <v>20</v>
      </c>
      <c r="C232" s="6" t="s">
        <v>750</v>
      </c>
      <c r="D232" s="6" t="s">
        <v>38</v>
      </c>
      <c r="E232" s="6" t="s">
        <v>26</v>
      </c>
      <c r="F232" s="6" t="s">
        <v>39</v>
      </c>
      <c r="G232" s="6" t="s">
        <v>75</v>
      </c>
      <c r="H232" s="6" t="s">
        <v>358</v>
      </c>
      <c r="I232" s="6" t="s">
        <v>42</v>
      </c>
      <c r="J232" s="6" t="s">
        <v>33</v>
      </c>
    </row>
    <row r="233" ht="15.75" customHeight="1">
      <c r="A233" s="6" t="s">
        <v>751</v>
      </c>
      <c r="B233" s="6" t="s">
        <v>20</v>
      </c>
      <c r="C233" s="6" t="s">
        <v>752</v>
      </c>
      <c r="D233" s="6" t="s">
        <v>178</v>
      </c>
      <c r="E233" s="6" t="s">
        <v>26</v>
      </c>
      <c r="F233" s="6" t="s">
        <v>753</v>
      </c>
      <c r="G233" s="6" t="s">
        <v>693</v>
      </c>
      <c r="H233" s="6" t="s">
        <v>358</v>
      </c>
      <c r="I233" s="6" t="s">
        <v>301</v>
      </c>
      <c r="J233" s="6" t="s">
        <v>33</v>
      </c>
    </row>
    <row r="234" ht="15.75" customHeight="1">
      <c r="A234" s="6" t="s">
        <v>754</v>
      </c>
      <c r="B234" s="6" t="s">
        <v>20</v>
      </c>
      <c r="C234" s="6" t="s">
        <v>755</v>
      </c>
      <c r="D234" s="6" t="s">
        <v>24</v>
      </c>
      <c r="E234" s="6" t="s">
        <v>25</v>
      </c>
      <c r="F234" s="6" t="s">
        <v>541</v>
      </c>
      <c r="G234" s="6" t="s">
        <v>132</v>
      </c>
      <c r="H234" s="6" t="s">
        <v>358</v>
      </c>
      <c r="I234" s="6" t="s">
        <v>219</v>
      </c>
      <c r="J234" s="6" t="s">
        <v>33</v>
      </c>
    </row>
    <row r="235" ht="15.75" customHeight="1">
      <c r="A235" s="6" t="s">
        <v>756</v>
      </c>
      <c r="B235" s="6" t="s">
        <v>20</v>
      </c>
      <c r="C235" s="6" t="s">
        <v>757</v>
      </c>
      <c r="D235" s="6" t="s">
        <v>24</v>
      </c>
      <c r="E235" s="6" t="s">
        <v>25</v>
      </c>
      <c r="F235" s="6" t="s">
        <v>758</v>
      </c>
      <c r="G235" s="6" t="s">
        <v>340</v>
      </c>
      <c r="H235" s="6" t="s">
        <v>358</v>
      </c>
      <c r="I235" s="6" t="s">
        <v>241</v>
      </c>
      <c r="J235" s="6" t="s">
        <v>33</v>
      </c>
    </row>
    <row r="236" ht="15.75" customHeight="1">
      <c r="A236" s="6" t="s">
        <v>759</v>
      </c>
      <c r="B236" s="6" t="s">
        <v>20</v>
      </c>
      <c r="C236" s="6" t="s">
        <v>760</v>
      </c>
      <c r="D236" s="6" t="s">
        <v>178</v>
      </c>
      <c r="E236" s="6" t="s">
        <v>26</v>
      </c>
      <c r="F236" s="6" t="s">
        <v>761</v>
      </c>
      <c r="G236" s="6" t="s">
        <v>455</v>
      </c>
      <c r="H236" s="6" t="s">
        <v>358</v>
      </c>
      <c r="I236" s="6" t="s">
        <v>114</v>
      </c>
      <c r="J236" s="6" t="s">
        <v>33</v>
      </c>
    </row>
    <row r="237" ht="15.75" customHeight="1">
      <c r="A237" s="6" t="s">
        <v>762</v>
      </c>
      <c r="B237" s="6" t="s">
        <v>43</v>
      </c>
      <c r="C237" s="6" t="s">
        <v>763</v>
      </c>
      <c r="D237" s="6" t="s">
        <v>57</v>
      </c>
      <c r="E237" s="6" t="s">
        <v>25</v>
      </c>
      <c r="F237" s="6" t="s">
        <v>422</v>
      </c>
      <c r="G237" s="6" t="s">
        <v>48</v>
      </c>
      <c r="H237" s="6" t="s">
        <v>358</v>
      </c>
      <c r="I237" s="6" t="s">
        <v>95</v>
      </c>
      <c r="J237" s="6" t="s">
        <v>33</v>
      </c>
    </row>
    <row r="238" ht="15.75" customHeight="1">
      <c r="A238" s="6" t="s">
        <v>764</v>
      </c>
      <c r="B238" s="6" t="s">
        <v>43</v>
      </c>
      <c r="C238" s="6" t="s">
        <v>765</v>
      </c>
      <c r="D238" s="6" t="s">
        <v>45</v>
      </c>
      <c r="E238" s="6" t="s">
        <v>25</v>
      </c>
      <c r="F238" s="6" t="s">
        <v>766</v>
      </c>
      <c r="G238" s="6" t="s">
        <v>218</v>
      </c>
      <c r="H238" s="6" t="s">
        <v>358</v>
      </c>
      <c r="I238" s="6" t="s">
        <v>94</v>
      </c>
      <c r="J238" s="6" t="s">
        <v>33</v>
      </c>
    </row>
    <row r="239" ht="15.75" customHeight="1">
      <c r="A239" s="6" t="s">
        <v>767</v>
      </c>
      <c r="B239" s="6" t="s">
        <v>43</v>
      </c>
      <c r="C239" s="6" t="s">
        <v>768</v>
      </c>
      <c r="D239" s="6" t="s">
        <v>45</v>
      </c>
      <c r="E239" s="6" t="s">
        <v>25</v>
      </c>
      <c r="F239" s="6" t="s">
        <v>126</v>
      </c>
      <c r="G239" s="6" t="s">
        <v>218</v>
      </c>
      <c r="H239" s="6" t="s">
        <v>358</v>
      </c>
      <c r="I239" s="6" t="s">
        <v>70</v>
      </c>
      <c r="J239" s="6" t="s">
        <v>33</v>
      </c>
    </row>
    <row r="240" ht="15.75" customHeight="1">
      <c r="A240" s="6" t="s">
        <v>769</v>
      </c>
      <c r="B240" s="6" t="s">
        <v>43</v>
      </c>
      <c r="C240" s="6" t="s">
        <v>770</v>
      </c>
      <c r="D240" s="6" t="s">
        <v>45</v>
      </c>
      <c r="E240" s="6" t="s">
        <v>25</v>
      </c>
      <c r="F240" s="6" t="s">
        <v>116</v>
      </c>
      <c r="G240" s="6" t="s">
        <v>771</v>
      </c>
      <c r="H240" s="6" t="s">
        <v>358</v>
      </c>
      <c r="I240" s="6" t="s">
        <v>70</v>
      </c>
      <c r="J240" s="6" t="s">
        <v>33</v>
      </c>
    </row>
    <row r="241" ht="15.75" customHeight="1">
      <c r="A241" s="6" t="s">
        <v>258</v>
      </c>
      <c r="B241" s="6" t="s">
        <v>43</v>
      </c>
      <c r="C241" s="6" t="s">
        <v>772</v>
      </c>
      <c r="D241" s="6" t="s">
        <v>38</v>
      </c>
      <c r="E241" s="6" t="s">
        <v>26</v>
      </c>
      <c r="F241" s="6" t="s">
        <v>773</v>
      </c>
      <c r="G241" s="6" t="s">
        <v>40</v>
      </c>
      <c r="H241" s="6" t="s">
        <v>358</v>
      </c>
      <c r="I241" s="6" t="s">
        <v>358</v>
      </c>
      <c r="J241" s="6" t="s">
        <v>33</v>
      </c>
    </row>
    <row r="242" ht="15.75" customHeight="1">
      <c r="A242" s="6" t="s">
        <v>774</v>
      </c>
      <c r="B242" s="6" t="s">
        <v>43</v>
      </c>
      <c r="C242" s="6" t="s">
        <v>775</v>
      </c>
      <c r="D242" s="6" t="s">
        <v>57</v>
      </c>
      <c r="E242" s="6" t="s">
        <v>25</v>
      </c>
      <c r="F242" s="6" t="s">
        <v>776</v>
      </c>
      <c r="G242" s="6" t="s">
        <v>617</v>
      </c>
      <c r="H242" s="6" t="s">
        <v>358</v>
      </c>
      <c r="I242" s="6" t="s">
        <v>777</v>
      </c>
      <c r="J242" s="6" t="s">
        <v>33</v>
      </c>
    </row>
    <row r="243" ht="15.75" customHeight="1">
      <c r="A243" s="6" t="s">
        <v>778</v>
      </c>
      <c r="B243" s="6" t="s">
        <v>43</v>
      </c>
      <c r="C243" s="6" t="s">
        <v>779</v>
      </c>
      <c r="D243" s="6" t="s">
        <v>45</v>
      </c>
      <c r="E243" s="6" t="s">
        <v>25</v>
      </c>
      <c r="F243" s="6" t="s">
        <v>131</v>
      </c>
      <c r="G243" s="6" t="s">
        <v>334</v>
      </c>
      <c r="H243" s="6" t="s">
        <v>358</v>
      </c>
      <c r="I243" s="6" t="s">
        <v>54</v>
      </c>
      <c r="J243" s="6" t="s">
        <v>33</v>
      </c>
    </row>
    <row r="244" ht="15.75" customHeight="1">
      <c r="A244" s="6" t="s">
        <v>780</v>
      </c>
      <c r="B244" s="6" t="s">
        <v>43</v>
      </c>
      <c r="C244" s="6" t="s">
        <v>781</v>
      </c>
      <c r="D244" s="6" t="s">
        <v>45</v>
      </c>
      <c r="E244" s="6" t="s">
        <v>25</v>
      </c>
      <c r="F244" s="6" t="s">
        <v>661</v>
      </c>
      <c r="G244" s="6" t="s">
        <v>361</v>
      </c>
      <c r="H244" s="6" t="s">
        <v>358</v>
      </c>
      <c r="I244" s="6" t="s">
        <v>94</v>
      </c>
      <c r="J244" s="6" t="s">
        <v>33</v>
      </c>
    </row>
    <row r="245" ht="15.75" customHeight="1">
      <c r="A245" s="6" t="s">
        <v>103</v>
      </c>
      <c r="B245" s="6" t="s">
        <v>43</v>
      </c>
      <c r="C245" s="6" t="s">
        <v>782</v>
      </c>
      <c r="D245" s="6" t="s">
        <v>57</v>
      </c>
      <c r="E245" s="6" t="s">
        <v>25</v>
      </c>
      <c r="F245" s="6" t="s">
        <v>300</v>
      </c>
      <c r="G245" s="6" t="s">
        <v>361</v>
      </c>
      <c r="H245" s="6" t="s">
        <v>358</v>
      </c>
      <c r="I245" s="6" t="s">
        <v>70</v>
      </c>
      <c r="J245" s="6" t="s">
        <v>33</v>
      </c>
    </row>
    <row r="246" ht="15.75" customHeight="1">
      <c r="A246" s="6" t="s">
        <v>783</v>
      </c>
      <c r="B246" s="6" t="s">
        <v>43</v>
      </c>
      <c r="C246" s="6" t="s">
        <v>784</v>
      </c>
      <c r="D246" s="6" t="s">
        <v>45</v>
      </c>
      <c r="E246" s="6" t="s">
        <v>25</v>
      </c>
      <c r="F246" s="6" t="s">
        <v>530</v>
      </c>
      <c r="G246" s="6" t="s">
        <v>151</v>
      </c>
      <c r="H246" s="6" t="s">
        <v>358</v>
      </c>
      <c r="I246" s="6" t="s">
        <v>139</v>
      </c>
      <c r="J246" s="6" t="s">
        <v>33</v>
      </c>
    </row>
    <row r="247" ht="15.75" customHeight="1">
      <c r="A247" s="6" t="s">
        <v>785</v>
      </c>
      <c r="B247" s="6" t="s">
        <v>43</v>
      </c>
      <c r="C247" s="6" t="s">
        <v>786</v>
      </c>
      <c r="D247" s="6" t="s">
        <v>45</v>
      </c>
      <c r="E247" s="6" t="s">
        <v>25</v>
      </c>
      <c r="F247" s="6" t="s">
        <v>787</v>
      </c>
      <c r="G247" s="6" t="s">
        <v>218</v>
      </c>
      <c r="H247" s="6" t="s">
        <v>358</v>
      </c>
      <c r="I247" s="6" t="s">
        <v>94</v>
      </c>
      <c r="J247" s="6" t="s">
        <v>33</v>
      </c>
    </row>
    <row r="248" ht="15.75" customHeight="1">
      <c r="A248" s="6" t="s">
        <v>788</v>
      </c>
      <c r="B248" s="6" t="s">
        <v>43</v>
      </c>
      <c r="C248" s="6" t="s">
        <v>789</v>
      </c>
      <c r="D248" s="6" t="s">
        <v>45</v>
      </c>
      <c r="E248" s="6" t="s">
        <v>25</v>
      </c>
      <c r="F248" s="6" t="s">
        <v>482</v>
      </c>
      <c r="G248" s="6" t="s">
        <v>361</v>
      </c>
      <c r="H248" s="6" t="s">
        <v>358</v>
      </c>
      <c r="I248" s="6" t="s">
        <v>104</v>
      </c>
      <c r="J248" s="6" t="s">
        <v>33</v>
      </c>
    </row>
    <row r="249" ht="15.75" customHeight="1">
      <c r="A249" s="6" t="s">
        <v>790</v>
      </c>
      <c r="B249" s="6" t="s">
        <v>43</v>
      </c>
      <c r="C249" s="6" t="s">
        <v>791</v>
      </c>
      <c r="D249" s="6" t="s">
        <v>45</v>
      </c>
      <c r="E249" s="6" t="s">
        <v>25</v>
      </c>
      <c r="F249" s="6" t="s">
        <v>407</v>
      </c>
      <c r="G249" s="6" t="s">
        <v>361</v>
      </c>
      <c r="H249" s="6" t="s">
        <v>358</v>
      </c>
      <c r="I249" s="6" t="s">
        <v>95</v>
      </c>
      <c r="J249" s="6" t="s">
        <v>33</v>
      </c>
    </row>
    <row r="250" ht="15.75" customHeight="1">
      <c r="A250" s="6" t="s">
        <v>792</v>
      </c>
      <c r="B250" s="6" t="s">
        <v>43</v>
      </c>
      <c r="C250" s="6" t="s">
        <v>793</v>
      </c>
      <c r="D250" s="6" t="s">
        <v>45</v>
      </c>
      <c r="E250" s="6" t="s">
        <v>25</v>
      </c>
      <c r="F250" s="6" t="s">
        <v>593</v>
      </c>
      <c r="G250" s="6" t="s">
        <v>48</v>
      </c>
      <c r="H250" s="6" t="s">
        <v>358</v>
      </c>
      <c r="I250" s="6" t="s">
        <v>104</v>
      </c>
      <c r="J250" s="6" t="s">
        <v>33</v>
      </c>
    </row>
    <row r="251" ht="15.75" customHeight="1">
      <c r="A251" s="6" t="s">
        <v>794</v>
      </c>
      <c r="B251" s="6" t="s">
        <v>43</v>
      </c>
      <c r="C251" s="6" t="s">
        <v>795</v>
      </c>
      <c r="D251" s="6" t="s">
        <v>24</v>
      </c>
      <c r="E251" s="6" t="s">
        <v>25</v>
      </c>
      <c r="F251" s="6" t="s">
        <v>796</v>
      </c>
      <c r="G251" s="6" t="s">
        <v>98</v>
      </c>
      <c r="H251" s="6" t="s">
        <v>358</v>
      </c>
      <c r="I251" s="6" t="s">
        <v>144</v>
      </c>
      <c r="J251" s="6" t="s">
        <v>33</v>
      </c>
    </row>
    <row r="252" ht="15.75" customHeight="1">
      <c r="A252" s="6" t="s">
        <v>797</v>
      </c>
      <c r="B252" s="6" t="s">
        <v>43</v>
      </c>
      <c r="C252" s="6" t="s">
        <v>798</v>
      </c>
      <c r="D252" s="6" t="s">
        <v>45</v>
      </c>
      <c r="E252" s="6" t="s">
        <v>25</v>
      </c>
      <c r="F252" s="6" t="s">
        <v>661</v>
      </c>
      <c r="G252" s="6" t="s">
        <v>218</v>
      </c>
      <c r="H252" s="6" t="s">
        <v>358</v>
      </c>
      <c r="I252" s="6" t="s">
        <v>114</v>
      </c>
      <c r="J252" s="6" t="s">
        <v>33</v>
      </c>
    </row>
    <row r="253" ht="15.75" customHeight="1">
      <c r="A253" s="6" t="s">
        <v>512</v>
      </c>
      <c r="B253" s="6" t="s">
        <v>20</v>
      </c>
      <c r="C253" s="6" t="s">
        <v>799</v>
      </c>
      <c r="D253" s="6" t="s">
        <v>45</v>
      </c>
      <c r="E253" s="6" t="s">
        <v>25</v>
      </c>
      <c r="F253" s="6" t="s">
        <v>593</v>
      </c>
      <c r="G253" s="6" t="s">
        <v>350</v>
      </c>
      <c r="H253" s="6" t="s">
        <v>358</v>
      </c>
      <c r="I253" s="6" t="s">
        <v>95</v>
      </c>
      <c r="J253" s="6" t="s">
        <v>113</v>
      </c>
    </row>
    <row r="254" ht="15.75" customHeight="1">
      <c r="A254" s="6" t="s">
        <v>800</v>
      </c>
      <c r="B254" s="6" t="s">
        <v>43</v>
      </c>
      <c r="C254" s="6" t="s">
        <v>801</v>
      </c>
      <c r="D254" s="6" t="s">
        <v>57</v>
      </c>
      <c r="E254" s="6" t="s">
        <v>25</v>
      </c>
      <c r="F254" s="6" t="s">
        <v>372</v>
      </c>
      <c r="G254" s="6" t="s">
        <v>617</v>
      </c>
      <c r="H254" s="6" t="s">
        <v>358</v>
      </c>
      <c r="I254" s="6" t="s">
        <v>94</v>
      </c>
      <c r="J254" s="6" t="s">
        <v>113</v>
      </c>
    </row>
    <row r="255" ht="15.75" customHeight="1">
      <c r="A255" s="6" t="s">
        <v>802</v>
      </c>
      <c r="B255" s="6" t="s">
        <v>20</v>
      </c>
      <c r="C255" s="6" t="s">
        <v>803</v>
      </c>
      <c r="D255" s="6" t="s">
        <v>273</v>
      </c>
      <c r="E255" s="6" t="s">
        <v>26</v>
      </c>
      <c r="F255" s="6" t="s">
        <v>804</v>
      </c>
      <c r="G255" s="6" t="s">
        <v>805</v>
      </c>
      <c r="H255" s="6" t="s">
        <v>355</v>
      </c>
      <c r="I255" s="6" t="s">
        <v>185</v>
      </c>
      <c r="J255" s="6" t="s">
        <v>33</v>
      </c>
    </row>
    <row r="256" ht="15.75" customHeight="1">
      <c r="A256" s="6" t="s">
        <v>806</v>
      </c>
      <c r="B256" s="6" t="s">
        <v>20</v>
      </c>
      <c r="C256" s="6" t="s">
        <v>807</v>
      </c>
      <c r="D256" s="6" t="s">
        <v>45</v>
      </c>
      <c r="E256" s="6" t="s">
        <v>133</v>
      </c>
      <c r="F256" s="6" t="s">
        <v>701</v>
      </c>
      <c r="G256" s="6" t="s">
        <v>287</v>
      </c>
      <c r="H256" s="6" t="s">
        <v>355</v>
      </c>
      <c r="I256" s="6" t="s">
        <v>808</v>
      </c>
      <c r="J256" s="6" t="s">
        <v>33</v>
      </c>
    </row>
    <row r="257" ht="15.75" customHeight="1">
      <c r="A257" s="6" t="s">
        <v>809</v>
      </c>
      <c r="B257" s="6" t="s">
        <v>20</v>
      </c>
      <c r="C257" s="6" t="s">
        <v>810</v>
      </c>
      <c r="D257" s="6" t="s">
        <v>178</v>
      </c>
      <c r="E257" s="6" t="s">
        <v>26</v>
      </c>
      <c r="F257" s="6" t="s">
        <v>811</v>
      </c>
      <c r="G257" s="6" t="s">
        <v>180</v>
      </c>
      <c r="H257" s="6" t="s">
        <v>355</v>
      </c>
      <c r="I257" s="6" t="s">
        <v>728</v>
      </c>
      <c r="J257" s="6" t="s">
        <v>33</v>
      </c>
    </row>
    <row r="258" ht="15.75" customHeight="1">
      <c r="A258" s="6" t="s">
        <v>812</v>
      </c>
      <c r="B258" s="6" t="s">
        <v>20</v>
      </c>
      <c r="C258" s="6" t="s">
        <v>813</v>
      </c>
      <c r="D258" s="6" t="s">
        <v>178</v>
      </c>
      <c r="E258" s="6" t="s">
        <v>26</v>
      </c>
      <c r="F258" s="6" t="s">
        <v>814</v>
      </c>
      <c r="G258" s="6" t="s">
        <v>815</v>
      </c>
      <c r="H258" s="6" t="s">
        <v>355</v>
      </c>
      <c r="I258" s="6" t="s">
        <v>189</v>
      </c>
      <c r="J258" s="6" t="s">
        <v>33</v>
      </c>
    </row>
    <row r="259" ht="15.75" customHeight="1">
      <c r="A259" s="6" t="s">
        <v>690</v>
      </c>
      <c r="B259" s="6" t="s">
        <v>20</v>
      </c>
      <c r="C259" s="6" t="s">
        <v>816</v>
      </c>
      <c r="D259" s="6" t="s">
        <v>57</v>
      </c>
      <c r="E259" s="6" t="s">
        <v>25</v>
      </c>
      <c r="F259" s="6" t="s">
        <v>817</v>
      </c>
      <c r="G259" s="6" t="s">
        <v>151</v>
      </c>
      <c r="H259" s="6" t="s">
        <v>355</v>
      </c>
      <c r="I259" s="6" t="s">
        <v>134</v>
      </c>
      <c r="J259" s="6" t="s">
        <v>33</v>
      </c>
    </row>
    <row r="260" ht="15.75" customHeight="1">
      <c r="A260" s="6" t="s">
        <v>818</v>
      </c>
      <c r="B260" s="6" t="s">
        <v>43</v>
      </c>
      <c r="C260" s="6" t="s">
        <v>819</v>
      </c>
      <c r="D260" s="6" t="s">
        <v>45</v>
      </c>
      <c r="E260" s="6" t="s">
        <v>25</v>
      </c>
      <c r="F260" s="6" t="s">
        <v>482</v>
      </c>
      <c r="G260" s="6" t="s">
        <v>218</v>
      </c>
      <c r="H260" s="6" t="s">
        <v>355</v>
      </c>
      <c r="I260" s="6" t="s">
        <v>70</v>
      </c>
      <c r="J260" s="6" t="s">
        <v>33</v>
      </c>
    </row>
    <row r="261" ht="15.75" customHeight="1">
      <c r="A261" s="6" t="s">
        <v>820</v>
      </c>
      <c r="B261" s="6" t="s">
        <v>43</v>
      </c>
      <c r="C261" s="6" t="s">
        <v>821</v>
      </c>
      <c r="D261" s="6" t="s">
        <v>45</v>
      </c>
      <c r="E261" s="6" t="s">
        <v>25</v>
      </c>
      <c r="F261" s="6" t="s">
        <v>250</v>
      </c>
      <c r="G261" s="6" t="s">
        <v>218</v>
      </c>
      <c r="H261" s="6" t="s">
        <v>355</v>
      </c>
      <c r="I261" s="6" t="s">
        <v>70</v>
      </c>
      <c r="J261" s="6" t="s">
        <v>33</v>
      </c>
    </row>
    <row r="262" ht="15.75" customHeight="1">
      <c r="A262" s="6" t="s">
        <v>822</v>
      </c>
      <c r="B262" s="6" t="s">
        <v>43</v>
      </c>
      <c r="C262" s="6" t="s">
        <v>823</v>
      </c>
      <c r="D262" s="6" t="s">
        <v>45</v>
      </c>
      <c r="E262" s="6" t="s">
        <v>25</v>
      </c>
      <c r="F262" s="6" t="s">
        <v>824</v>
      </c>
      <c r="G262" s="6" t="s">
        <v>218</v>
      </c>
      <c r="H262" s="6" t="s">
        <v>355</v>
      </c>
      <c r="I262" s="6" t="s">
        <v>139</v>
      </c>
      <c r="J262" s="6" t="s">
        <v>33</v>
      </c>
    </row>
    <row r="263" ht="15.75" customHeight="1">
      <c r="A263" s="6" t="s">
        <v>826</v>
      </c>
      <c r="B263" s="6" t="s">
        <v>43</v>
      </c>
      <c r="C263" s="6" t="s">
        <v>827</v>
      </c>
      <c r="D263" s="6" t="s">
        <v>45</v>
      </c>
      <c r="E263" s="6" t="s">
        <v>25</v>
      </c>
      <c r="F263" s="6" t="s">
        <v>360</v>
      </c>
      <c r="G263" s="6" t="s">
        <v>361</v>
      </c>
      <c r="H263" s="6" t="s">
        <v>355</v>
      </c>
      <c r="I263" s="6" t="s">
        <v>91</v>
      </c>
      <c r="J263" s="6" t="s">
        <v>33</v>
      </c>
    </row>
    <row r="264" ht="15.75" customHeight="1">
      <c r="A264" s="6" t="s">
        <v>828</v>
      </c>
      <c r="B264" s="6" t="s">
        <v>43</v>
      </c>
      <c r="C264" s="6" t="s">
        <v>829</v>
      </c>
      <c r="D264" s="6" t="s">
        <v>45</v>
      </c>
      <c r="E264" s="6" t="s">
        <v>25</v>
      </c>
      <c r="F264" s="6" t="s">
        <v>398</v>
      </c>
      <c r="G264" s="6" t="s">
        <v>218</v>
      </c>
      <c r="H264" s="6" t="s">
        <v>355</v>
      </c>
      <c r="I264" s="6" t="s">
        <v>54</v>
      </c>
      <c r="J264" s="6" t="s">
        <v>33</v>
      </c>
    </row>
    <row r="265" ht="15.75" customHeight="1">
      <c r="A265" s="6" t="s">
        <v>510</v>
      </c>
      <c r="B265" s="6" t="s">
        <v>43</v>
      </c>
      <c r="C265" s="6" t="s">
        <v>830</v>
      </c>
      <c r="D265" s="6" t="s">
        <v>45</v>
      </c>
      <c r="E265" s="6" t="s">
        <v>25</v>
      </c>
      <c r="F265" s="6" t="s">
        <v>831</v>
      </c>
      <c r="G265" s="6" t="s">
        <v>218</v>
      </c>
      <c r="H265" s="6" t="s">
        <v>355</v>
      </c>
      <c r="I265" s="6" t="s">
        <v>91</v>
      </c>
      <c r="J265" s="6" t="s">
        <v>33</v>
      </c>
    </row>
    <row r="266" ht="15.75" customHeight="1">
      <c r="A266" s="6" t="s">
        <v>733</v>
      </c>
      <c r="B266" s="6" t="s">
        <v>43</v>
      </c>
      <c r="C266" s="6" t="s">
        <v>832</v>
      </c>
      <c r="D266" s="6" t="s">
        <v>45</v>
      </c>
      <c r="E266" s="6" t="s">
        <v>25</v>
      </c>
      <c r="F266" s="6" t="s">
        <v>824</v>
      </c>
      <c r="G266" s="6" t="s">
        <v>218</v>
      </c>
      <c r="H266" s="6" t="s">
        <v>355</v>
      </c>
      <c r="I266" s="6" t="s">
        <v>94</v>
      </c>
      <c r="J266" s="6" t="s">
        <v>33</v>
      </c>
    </row>
    <row r="267" ht="15.75" customHeight="1">
      <c r="A267" s="6" t="s">
        <v>833</v>
      </c>
      <c r="B267" s="6" t="s">
        <v>43</v>
      </c>
      <c r="C267" s="6" t="s">
        <v>834</v>
      </c>
      <c r="D267" s="6" t="s">
        <v>38</v>
      </c>
      <c r="E267" s="6" t="s">
        <v>25</v>
      </c>
      <c r="F267" s="6" t="s">
        <v>642</v>
      </c>
      <c r="G267" s="6" t="s">
        <v>492</v>
      </c>
      <c r="H267" s="6" t="s">
        <v>355</v>
      </c>
      <c r="I267" s="6" t="s">
        <v>42</v>
      </c>
      <c r="J267" s="6" t="s">
        <v>33</v>
      </c>
    </row>
    <row r="268" ht="15.75" customHeight="1">
      <c r="A268" s="6" t="s">
        <v>835</v>
      </c>
      <c r="B268" s="6" t="s">
        <v>43</v>
      </c>
      <c r="C268" s="6" t="s">
        <v>836</v>
      </c>
      <c r="D268" s="6" t="s">
        <v>45</v>
      </c>
      <c r="E268" s="6" t="s">
        <v>25</v>
      </c>
      <c r="F268" s="6" t="s">
        <v>588</v>
      </c>
      <c r="G268" s="6" t="s">
        <v>361</v>
      </c>
      <c r="H268" s="6" t="s">
        <v>355</v>
      </c>
      <c r="I268" s="6" t="s">
        <v>94</v>
      </c>
      <c r="J268" s="6" t="s">
        <v>33</v>
      </c>
    </row>
    <row r="269" ht="15.75" customHeight="1">
      <c r="A269" s="6" t="s">
        <v>837</v>
      </c>
      <c r="B269" s="6" t="s">
        <v>20</v>
      </c>
      <c r="C269" s="6" t="s">
        <v>838</v>
      </c>
      <c r="D269" s="6" t="s">
        <v>45</v>
      </c>
      <c r="E269" s="6" t="s">
        <v>25</v>
      </c>
      <c r="F269" s="6" t="s">
        <v>250</v>
      </c>
      <c r="G269" s="6" t="s">
        <v>132</v>
      </c>
      <c r="H269" s="6" t="s">
        <v>355</v>
      </c>
      <c r="I269" s="6" t="s">
        <v>839</v>
      </c>
      <c r="J269" s="6" t="s">
        <v>113</v>
      </c>
    </row>
    <row r="270" ht="15.75" customHeight="1">
      <c r="A270" s="6" t="s">
        <v>840</v>
      </c>
      <c r="B270" s="6" t="s">
        <v>20</v>
      </c>
      <c r="C270" s="6" t="s">
        <v>841</v>
      </c>
      <c r="D270" s="6" t="s">
        <v>24</v>
      </c>
      <c r="E270" s="6" t="s">
        <v>25</v>
      </c>
      <c r="F270" s="6" t="s">
        <v>39</v>
      </c>
      <c r="G270" s="6" t="s">
        <v>492</v>
      </c>
      <c r="H270" s="6" t="s">
        <v>353</v>
      </c>
      <c r="I270" s="6" t="s">
        <v>224</v>
      </c>
      <c r="J270" s="6" t="s">
        <v>33</v>
      </c>
    </row>
    <row r="271" ht="15.75" customHeight="1">
      <c r="A271" s="6" t="s">
        <v>842</v>
      </c>
      <c r="B271" s="6" t="s">
        <v>20</v>
      </c>
      <c r="C271" s="6" t="s">
        <v>843</v>
      </c>
      <c r="D271" s="6" t="s">
        <v>24</v>
      </c>
      <c r="E271" s="6" t="s">
        <v>25</v>
      </c>
      <c r="F271" s="6" t="s">
        <v>844</v>
      </c>
      <c r="G271" s="6" t="s">
        <v>334</v>
      </c>
      <c r="H271" s="6" t="s">
        <v>353</v>
      </c>
      <c r="I271" s="6" t="s">
        <v>822</v>
      </c>
      <c r="J271" s="6" t="s">
        <v>33</v>
      </c>
    </row>
    <row r="272" ht="15.75" customHeight="1">
      <c r="A272" s="6" t="s">
        <v>845</v>
      </c>
      <c r="B272" s="6" t="s">
        <v>20</v>
      </c>
      <c r="C272" s="6" t="s">
        <v>846</v>
      </c>
      <c r="D272" s="6" t="s">
        <v>24</v>
      </c>
      <c r="E272" s="6" t="s">
        <v>25</v>
      </c>
      <c r="F272" s="6" t="s">
        <v>116</v>
      </c>
      <c r="G272" s="6" t="s">
        <v>107</v>
      </c>
      <c r="H272" s="6" t="s">
        <v>353</v>
      </c>
      <c r="I272" s="6" t="s">
        <v>279</v>
      </c>
      <c r="J272" s="6" t="s">
        <v>33</v>
      </c>
    </row>
    <row r="273" ht="15.75" customHeight="1">
      <c r="A273" s="6" t="s">
        <v>839</v>
      </c>
      <c r="B273" s="6" t="s">
        <v>20</v>
      </c>
      <c r="C273" s="6" t="s">
        <v>847</v>
      </c>
      <c r="D273" s="6" t="s">
        <v>273</v>
      </c>
      <c r="E273" s="6" t="s">
        <v>25</v>
      </c>
      <c r="F273" s="6" t="s">
        <v>848</v>
      </c>
      <c r="G273" s="6" t="s">
        <v>849</v>
      </c>
      <c r="H273" s="6" t="s">
        <v>353</v>
      </c>
      <c r="I273" s="6" t="s">
        <v>190</v>
      </c>
      <c r="J273" s="6" t="s">
        <v>33</v>
      </c>
    </row>
    <row r="274" ht="15.75" customHeight="1">
      <c r="A274" s="6" t="s">
        <v>850</v>
      </c>
      <c r="B274" s="6" t="s">
        <v>20</v>
      </c>
      <c r="C274" s="6" t="s">
        <v>851</v>
      </c>
      <c r="D274" s="6" t="s">
        <v>45</v>
      </c>
      <c r="E274" s="6" t="s">
        <v>133</v>
      </c>
      <c r="F274" s="6" t="s">
        <v>215</v>
      </c>
      <c r="G274" s="6" t="s">
        <v>287</v>
      </c>
      <c r="H274" s="6" t="s">
        <v>353</v>
      </c>
      <c r="I274" s="6" t="s">
        <v>852</v>
      </c>
      <c r="J274" s="6" t="s">
        <v>33</v>
      </c>
    </row>
    <row r="275" ht="15.75" customHeight="1">
      <c r="A275" s="6" t="s">
        <v>853</v>
      </c>
      <c r="B275" s="6" t="s">
        <v>20</v>
      </c>
      <c r="C275" s="6" t="s">
        <v>854</v>
      </c>
      <c r="D275" s="6" t="s">
        <v>38</v>
      </c>
      <c r="E275" s="6" t="s">
        <v>26</v>
      </c>
      <c r="F275" s="6" t="s">
        <v>855</v>
      </c>
      <c r="G275" s="6" t="s">
        <v>157</v>
      </c>
      <c r="H275" s="6" t="s">
        <v>353</v>
      </c>
      <c r="I275" s="6" t="s">
        <v>109</v>
      </c>
      <c r="J275" s="6" t="s">
        <v>33</v>
      </c>
    </row>
    <row r="276" ht="15.75" customHeight="1">
      <c r="A276" s="6" t="s">
        <v>856</v>
      </c>
      <c r="B276" s="6" t="s">
        <v>20</v>
      </c>
      <c r="C276" s="6" t="s">
        <v>857</v>
      </c>
      <c r="D276" s="6" t="s">
        <v>45</v>
      </c>
      <c r="E276" s="6" t="s">
        <v>25</v>
      </c>
      <c r="F276" s="6" t="s">
        <v>286</v>
      </c>
      <c r="G276" s="6" t="s">
        <v>107</v>
      </c>
      <c r="H276" s="6" t="s">
        <v>353</v>
      </c>
      <c r="I276" s="6" t="s">
        <v>257</v>
      </c>
      <c r="J276" s="6" t="s">
        <v>33</v>
      </c>
    </row>
    <row r="277" ht="15.75" customHeight="1">
      <c r="A277" s="6" t="s">
        <v>858</v>
      </c>
      <c r="B277" s="6" t="s">
        <v>20</v>
      </c>
      <c r="C277" s="6" t="s">
        <v>859</v>
      </c>
      <c r="D277" s="6" t="s">
        <v>38</v>
      </c>
      <c r="E277" s="6" t="s">
        <v>26</v>
      </c>
      <c r="F277" s="6" t="s">
        <v>860</v>
      </c>
      <c r="G277" s="6" t="s">
        <v>75</v>
      </c>
      <c r="H277" s="6" t="s">
        <v>353</v>
      </c>
      <c r="I277" s="6" t="s">
        <v>109</v>
      </c>
      <c r="J277" s="6" t="s">
        <v>33</v>
      </c>
    </row>
    <row r="278" ht="15.75" customHeight="1">
      <c r="A278" s="6" t="s">
        <v>861</v>
      </c>
      <c r="B278" s="6" t="s">
        <v>43</v>
      </c>
      <c r="C278" s="6" t="s">
        <v>862</v>
      </c>
      <c r="D278" s="6" t="s">
        <v>38</v>
      </c>
      <c r="E278" s="6" t="s">
        <v>26</v>
      </c>
      <c r="F278" s="6" t="s">
        <v>863</v>
      </c>
      <c r="G278" s="6" t="s">
        <v>864</v>
      </c>
      <c r="H278" s="6" t="s">
        <v>353</v>
      </c>
      <c r="I278" s="6" t="s">
        <v>148</v>
      </c>
      <c r="J278" s="6" t="s">
        <v>33</v>
      </c>
    </row>
    <row r="279" ht="15.75" customHeight="1">
      <c r="A279" s="6" t="s">
        <v>865</v>
      </c>
      <c r="B279" s="6" t="s">
        <v>43</v>
      </c>
      <c r="C279" s="6" t="s">
        <v>866</v>
      </c>
      <c r="D279" s="6" t="s">
        <v>57</v>
      </c>
      <c r="E279" s="6" t="s">
        <v>25</v>
      </c>
      <c r="F279" s="6" t="s">
        <v>556</v>
      </c>
      <c r="G279" s="6" t="s">
        <v>48</v>
      </c>
      <c r="H279" s="6" t="s">
        <v>353</v>
      </c>
      <c r="I279" s="6" t="s">
        <v>143</v>
      </c>
      <c r="J279" s="6" t="s">
        <v>33</v>
      </c>
    </row>
    <row r="280" ht="15.75" customHeight="1">
      <c r="A280" s="6" t="s">
        <v>867</v>
      </c>
      <c r="B280" s="6" t="s">
        <v>43</v>
      </c>
      <c r="C280" s="6" t="s">
        <v>868</v>
      </c>
      <c r="D280" s="6" t="s">
        <v>45</v>
      </c>
      <c r="E280" s="6" t="s">
        <v>25</v>
      </c>
      <c r="F280" s="6" t="s">
        <v>524</v>
      </c>
      <c r="G280" s="6" t="s">
        <v>48</v>
      </c>
      <c r="H280" s="6" t="s">
        <v>353</v>
      </c>
      <c r="I280" s="6" t="s">
        <v>91</v>
      </c>
      <c r="J280" s="6" t="s">
        <v>33</v>
      </c>
    </row>
    <row r="281" ht="15.75" customHeight="1">
      <c r="A281" s="6" t="s">
        <v>869</v>
      </c>
      <c r="B281" s="6" t="s">
        <v>43</v>
      </c>
      <c r="C281" s="6" t="s">
        <v>870</v>
      </c>
      <c r="D281" s="6" t="s">
        <v>45</v>
      </c>
      <c r="E281" s="6" t="s">
        <v>25</v>
      </c>
      <c r="F281" s="6" t="s">
        <v>364</v>
      </c>
      <c r="G281" s="6" t="s">
        <v>361</v>
      </c>
      <c r="H281" s="6" t="s">
        <v>353</v>
      </c>
      <c r="I281" s="6" t="s">
        <v>70</v>
      </c>
      <c r="J281" s="6" t="s">
        <v>33</v>
      </c>
    </row>
    <row r="282" ht="15.75" customHeight="1">
      <c r="A282" s="6" t="s">
        <v>871</v>
      </c>
      <c r="B282" s="6" t="s">
        <v>20</v>
      </c>
      <c r="C282" s="6" t="s">
        <v>872</v>
      </c>
      <c r="D282" s="6" t="s">
        <v>57</v>
      </c>
      <c r="E282" s="6" t="s">
        <v>133</v>
      </c>
      <c r="F282" s="6" t="s">
        <v>642</v>
      </c>
      <c r="G282" s="6" t="s">
        <v>287</v>
      </c>
      <c r="H282" s="6" t="s">
        <v>353</v>
      </c>
      <c r="I282" s="6" t="s">
        <v>785</v>
      </c>
      <c r="J282" s="6" t="s">
        <v>113</v>
      </c>
    </row>
    <row r="283" ht="15.75" customHeight="1">
      <c r="A283" s="6" t="s">
        <v>873</v>
      </c>
      <c r="B283" s="6" t="s">
        <v>20</v>
      </c>
      <c r="C283" s="6" t="s">
        <v>874</v>
      </c>
      <c r="D283" s="6" t="s">
        <v>415</v>
      </c>
      <c r="E283" s="6" t="s">
        <v>25</v>
      </c>
      <c r="F283" s="6" t="s">
        <v>97</v>
      </c>
      <c r="G283" s="6" t="s">
        <v>132</v>
      </c>
      <c r="H283" s="6" t="s">
        <v>353</v>
      </c>
      <c r="I283" s="6" t="s">
        <v>252</v>
      </c>
      <c r="J283" s="6" t="s">
        <v>113</v>
      </c>
    </row>
    <row r="284" ht="15.75" customHeight="1">
      <c r="A284" s="6" t="s">
        <v>875</v>
      </c>
      <c r="B284" s="6" t="s">
        <v>20</v>
      </c>
      <c r="C284" s="6" t="s">
        <v>876</v>
      </c>
      <c r="D284" s="6" t="s">
        <v>178</v>
      </c>
      <c r="E284" s="6" t="s">
        <v>26</v>
      </c>
      <c r="F284" s="6" t="s">
        <v>804</v>
      </c>
      <c r="G284" s="6" t="s">
        <v>877</v>
      </c>
      <c r="H284" s="6" t="s">
        <v>288</v>
      </c>
      <c r="I284" s="6" t="s">
        <v>211</v>
      </c>
      <c r="J284" s="6" t="s">
        <v>33</v>
      </c>
    </row>
    <row r="285" ht="15.75" customHeight="1">
      <c r="A285" s="6" t="s">
        <v>694</v>
      </c>
      <c r="B285" s="6" t="s">
        <v>20</v>
      </c>
      <c r="C285" s="6" t="s">
        <v>878</v>
      </c>
      <c r="D285" s="6" t="s">
        <v>178</v>
      </c>
      <c r="E285" s="6" t="s">
        <v>26</v>
      </c>
      <c r="F285" s="6" t="s">
        <v>879</v>
      </c>
      <c r="G285" s="6" t="s">
        <v>880</v>
      </c>
      <c r="H285" s="6" t="s">
        <v>288</v>
      </c>
      <c r="I285" s="6" t="s">
        <v>245</v>
      </c>
      <c r="J285" s="6" t="s">
        <v>33</v>
      </c>
    </row>
    <row r="286" ht="15.75" customHeight="1">
      <c r="A286" s="6" t="s">
        <v>499</v>
      </c>
      <c r="B286" s="6" t="s">
        <v>20</v>
      </c>
      <c r="C286" s="6" t="s">
        <v>881</v>
      </c>
      <c r="D286" s="6" t="s">
        <v>57</v>
      </c>
      <c r="E286" s="6" t="s">
        <v>133</v>
      </c>
      <c r="F286" s="6" t="s">
        <v>247</v>
      </c>
      <c r="G286" s="6" t="s">
        <v>287</v>
      </c>
      <c r="H286" s="6" t="s">
        <v>288</v>
      </c>
      <c r="I286" s="6" t="s">
        <v>882</v>
      </c>
      <c r="J286" s="6" t="s">
        <v>33</v>
      </c>
    </row>
    <row r="287" ht="15.75" customHeight="1">
      <c r="A287" s="6" t="s">
        <v>883</v>
      </c>
      <c r="B287" s="6" t="s">
        <v>20</v>
      </c>
      <c r="C287" s="6" t="s">
        <v>884</v>
      </c>
      <c r="D287" s="6" t="s">
        <v>24</v>
      </c>
      <c r="E287" s="6" t="s">
        <v>26</v>
      </c>
      <c r="F287" s="6" t="s">
        <v>885</v>
      </c>
      <c r="G287" s="6" t="s">
        <v>593</v>
      </c>
      <c r="H287" s="6" t="s">
        <v>288</v>
      </c>
      <c r="I287" s="6" t="s">
        <v>493</v>
      </c>
      <c r="J287" s="6" t="s">
        <v>33</v>
      </c>
    </row>
    <row r="288" ht="15.75" customHeight="1">
      <c r="A288" s="6" t="s">
        <v>886</v>
      </c>
      <c r="B288" s="6" t="s">
        <v>20</v>
      </c>
      <c r="C288" s="6" t="s">
        <v>887</v>
      </c>
      <c r="D288" s="6" t="s">
        <v>38</v>
      </c>
      <c r="E288" s="6" t="s">
        <v>25</v>
      </c>
      <c r="F288" s="6" t="s">
        <v>888</v>
      </c>
      <c r="G288" s="6" t="s">
        <v>340</v>
      </c>
      <c r="H288" s="6" t="s">
        <v>288</v>
      </c>
      <c r="I288" s="6" t="s">
        <v>148</v>
      </c>
      <c r="J288" s="6" t="s">
        <v>33</v>
      </c>
    </row>
    <row r="289" ht="15.75" customHeight="1">
      <c r="A289" s="6" t="s">
        <v>649</v>
      </c>
      <c r="B289" s="6" t="s">
        <v>20</v>
      </c>
      <c r="C289" s="6" t="s">
        <v>889</v>
      </c>
      <c r="D289" s="6" t="s">
        <v>24</v>
      </c>
      <c r="E289" s="6" t="s">
        <v>26</v>
      </c>
      <c r="F289" s="6" t="s">
        <v>890</v>
      </c>
      <c r="G289" s="6" t="s">
        <v>264</v>
      </c>
      <c r="H289" s="6" t="s">
        <v>288</v>
      </c>
      <c r="I289" s="6" t="s">
        <v>610</v>
      </c>
      <c r="J289" s="6" t="s">
        <v>33</v>
      </c>
    </row>
    <row r="290" ht="15.75" customHeight="1">
      <c r="A290" s="6" t="s">
        <v>891</v>
      </c>
      <c r="B290" s="6" t="s">
        <v>20</v>
      </c>
      <c r="C290" s="6" t="s">
        <v>892</v>
      </c>
      <c r="D290" s="6" t="s">
        <v>213</v>
      </c>
      <c r="E290" s="6" t="s">
        <v>26</v>
      </c>
      <c r="F290" s="6" t="s">
        <v>508</v>
      </c>
      <c r="G290" s="6" t="s">
        <v>247</v>
      </c>
      <c r="H290" s="6" t="s">
        <v>288</v>
      </c>
      <c r="I290" s="6" t="s">
        <v>112</v>
      </c>
      <c r="J290" s="6" t="s">
        <v>33</v>
      </c>
    </row>
    <row r="291" ht="15.75" customHeight="1">
      <c r="A291" s="6" t="s">
        <v>893</v>
      </c>
      <c r="B291" s="6" t="s">
        <v>20</v>
      </c>
      <c r="C291" s="6" t="s">
        <v>894</v>
      </c>
      <c r="D291" s="6" t="s">
        <v>273</v>
      </c>
      <c r="E291" s="6" t="s">
        <v>26</v>
      </c>
      <c r="F291" s="6" t="s">
        <v>895</v>
      </c>
      <c r="G291" s="6" t="s">
        <v>896</v>
      </c>
      <c r="H291" s="6" t="s">
        <v>288</v>
      </c>
      <c r="I291" s="6" t="s">
        <v>542</v>
      </c>
      <c r="J291" s="6" t="s">
        <v>33</v>
      </c>
    </row>
    <row r="292" ht="15.75" customHeight="1">
      <c r="A292" s="6" t="s">
        <v>897</v>
      </c>
      <c r="B292" s="6" t="s">
        <v>20</v>
      </c>
      <c r="C292" s="6" t="s">
        <v>898</v>
      </c>
      <c r="D292" s="6" t="s">
        <v>45</v>
      </c>
      <c r="E292" s="6" t="s">
        <v>133</v>
      </c>
      <c r="F292" s="6" t="s">
        <v>560</v>
      </c>
      <c r="G292" s="6" t="s">
        <v>287</v>
      </c>
      <c r="H292" s="6" t="s">
        <v>288</v>
      </c>
      <c r="I292" s="6" t="s">
        <v>899</v>
      </c>
      <c r="J292" s="6" t="s">
        <v>33</v>
      </c>
    </row>
    <row r="293" ht="15.75" customHeight="1">
      <c r="A293" s="6" t="s">
        <v>900</v>
      </c>
      <c r="B293" s="6" t="s">
        <v>20</v>
      </c>
      <c r="C293" s="6" t="s">
        <v>901</v>
      </c>
      <c r="D293" s="6" t="s">
        <v>415</v>
      </c>
      <c r="E293" s="6" t="s">
        <v>25</v>
      </c>
      <c r="F293" s="6" t="s">
        <v>371</v>
      </c>
      <c r="G293" s="6" t="s">
        <v>132</v>
      </c>
      <c r="H293" s="6" t="s">
        <v>288</v>
      </c>
      <c r="I293" s="6" t="s">
        <v>271</v>
      </c>
      <c r="J293" s="6" t="s">
        <v>33</v>
      </c>
    </row>
    <row r="294" ht="15.75" customHeight="1">
      <c r="A294" s="6" t="s">
        <v>902</v>
      </c>
      <c r="B294" s="6" t="s">
        <v>20</v>
      </c>
      <c r="C294" s="6" t="s">
        <v>903</v>
      </c>
      <c r="D294" s="6" t="s">
        <v>24</v>
      </c>
      <c r="E294" s="6" t="s">
        <v>25</v>
      </c>
      <c r="F294" s="6" t="s">
        <v>277</v>
      </c>
      <c r="G294" s="6" t="s">
        <v>117</v>
      </c>
      <c r="H294" s="6" t="s">
        <v>288</v>
      </c>
      <c r="I294" s="6" t="s">
        <v>134</v>
      </c>
      <c r="J294" s="6" t="s">
        <v>33</v>
      </c>
    </row>
    <row r="295" ht="15.75" customHeight="1">
      <c r="A295" s="6" t="s">
        <v>904</v>
      </c>
      <c r="B295" s="6" t="s">
        <v>20</v>
      </c>
      <c r="C295" s="6" t="s">
        <v>905</v>
      </c>
      <c r="D295" s="6" t="s">
        <v>45</v>
      </c>
      <c r="E295" s="6" t="s">
        <v>25</v>
      </c>
      <c r="F295" s="6" t="s">
        <v>530</v>
      </c>
      <c r="G295" s="6" t="s">
        <v>98</v>
      </c>
      <c r="H295" s="6" t="s">
        <v>288</v>
      </c>
      <c r="I295" s="6" t="s">
        <v>167</v>
      </c>
      <c r="J295" s="6" t="s">
        <v>33</v>
      </c>
    </row>
    <row r="296" ht="15.75" customHeight="1">
      <c r="A296" s="6" t="s">
        <v>906</v>
      </c>
      <c r="B296" s="6" t="s">
        <v>20</v>
      </c>
      <c r="C296" s="6" t="s">
        <v>907</v>
      </c>
      <c r="D296" s="6" t="s">
        <v>57</v>
      </c>
      <c r="E296" s="6" t="s">
        <v>25</v>
      </c>
      <c r="F296" s="6" t="s">
        <v>102</v>
      </c>
      <c r="G296" s="6" t="s">
        <v>287</v>
      </c>
      <c r="H296" s="6" t="s">
        <v>288</v>
      </c>
      <c r="I296" s="6" t="s">
        <v>908</v>
      </c>
      <c r="J296" s="6" t="s">
        <v>33</v>
      </c>
    </row>
    <row r="297" ht="15.75" customHeight="1">
      <c r="A297" s="6" t="s">
        <v>909</v>
      </c>
      <c r="B297" s="6" t="s">
        <v>20</v>
      </c>
      <c r="C297" s="6" t="s">
        <v>910</v>
      </c>
      <c r="D297" s="6" t="s">
        <v>45</v>
      </c>
      <c r="E297" s="6" t="s">
        <v>25</v>
      </c>
      <c r="F297" s="6" t="s">
        <v>282</v>
      </c>
      <c r="G297" s="6" t="s">
        <v>132</v>
      </c>
      <c r="H297" s="6" t="s">
        <v>288</v>
      </c>
      <c r="I297" s="6" t="s">
        <v>138</v>
      </c>
      <c r="J297" s="6" t="s">
        <v>33</v>
      </c>
    </row>
    <row r="298" ht="15.75" customHeight="1">
      <c r="A298" s="6" t="s">
        <v>911</v>
      </c>
      <c r="B298" s="6" t="s">
        <v>43</v>
      </c>
      <c r="C298" s="6" t="s">
        <v>912</v>
      </c>
      <c r="D298" s="6" t="s">
        <v>45</v>
      </c>
      <c r="E298" s="6" t="s">
        <v>25</v>
      </c>
      <c r="F298" s="6" t="s">
        <v>824</v>
      </c>
      <c r="G298" s="6" t="s">
        <v>913</v>
      </c>
      <c r="H298" s="6" t="s">
        <v>288</v>
      </c>
      <c r="I298" s="6" t="s">
        <v>479</v>
      </c>
      <c r="J298" s="6" t="s">
        <v>33</v>
      </c>
    </row>
    <row r="299" ht="15.75" customHeight="1">
      <c r="A299" s="6" t="s">
        <v>914</v>
      </c>
      <c r="B299" s="6" t="s">
        <v>43</v>
      </c>
      <c r="C299" s="6" t="s">
        <v>915</v>
      </c>
      <c r="D299" s="6" t="s">
        <v>45</v>
      </c>
      <c r="E299" s="6" t="s">
        <v>25</v>
      </c>
      <c r="F299" s="6" t="s">
        <v>395</v>
      </c>
      <c r="G299" s="6" t="s">
        <v>81</v>
      </c>
      <c r="H299" s="6" t="s">
        <v>288</v>
      </c>
      <c r="I299" s="6" t="s">
        <v>252</v>
      </c>
      <c r="J299" s="6" t="s">
        <v>33</v>
      </c>
    </row>
    <row r="300" ht="15.75" customHeight="1">
      <c r="A300" s="6" t="s">
        <v>916</v>
      </c>
      <c r="B300" s="6" t="s">
        <v>43</v>
      </c>
      <c r="C300" s="6" t="s">
        <v>859</v>
      </c>
      <c r="D300" s="6" t="s">
        <v>24</v>
      </c>
      <c r="E300" s="6" t="s">
        <v>25</v>
      </c>
      <c r="F300" s="6" t="s">
        <v>183</v>
      </c>
      <c r="G300" s="6" t="s">
        <v>334</v>
      </c>
      <c r="H300" s="6" t="s">
        <v>288</v>
      </c>
      <c r="I300" s="6" t="s">
        <v>78</v>
      </c>
      <c r="J300" s="6" t="s">
        <v>33</v>
      </c>
    </row>
    <row r="301" ht="15.75" customHeight="1">
      <c r="A301" s="6" t="s">
        <v>917</v>
      </c>
      <c r="B301" s="6" t="s">
        <v>20</v>
      </c>
      <c r="C301" s="6" t="s">
        <v>918</v>
      </c>
      <c r="D301" s="6" t="s">
        <v>38</v>
      </c>
      <c r="E301" s="6" t="s">
        <v>25</v>
      </c>
      <c r="F301" s="6" t="s">
        <v>541</v>
      </c>
      <c r="G301" s="6" t="s">
        <v>132</v>
      </c>
      <c r="H301" s="6" t="s">
        <v>288</v>
      </c>
      <c r="I301" s="6" t="s">
        <v>423</v>
      </c>
      <c r="J301" s="6" t="s">
        <v>113</v>
      </c>
    </row>
    <row r="302" ht="15.75" customHeight="1">
      <c r="A302" s="6" t="s">
        <v>919</v>
      </c>
      <c r="B302" s="6" t="s">
        <v>20</v>
      </c>
      <c r="C302" s="6" t="s">
        <v>920</v>
      </c>
      <c r="D302" s="6" t="s">
        <v>45</v>
      </c>
      <c r="E302" s="6" t="s">
        <v>25</v>
      </c>
      <c r="F302" s="6" t="s">
        <v>455</v>
      </c>
      <c r="G302" s="6" t="s">
        <v>81</v>
      </c>
      <c r="H302" s="6" t="s">
        <v>288</v>
      </c>
      <c r="I302" s="6" t="s">
        <v>86</v>
      </c>
      <c r="J302" s="6" t="s">
        <v>113</v>
      </c>
    </row>
    <row r="303" ht="15.75" customHeight="1">
      <c r="A303" s="6" t="s">
        <v>711</v>
      </c>
      <c r="B303" s="6" t="s">
        <v>20</v>
      </c>
      <c r="C303" s="6" t="s">
        <v>922</v>
      </c>
      <c r="D303" s="6" t="s">
        <v>57</v>
      </c>
      <c r="E303" s="6" t="s">
        <v>25</v>
      </c>
      <c r="F303" s="6" t="s">
        <v>250</v>
      </c>
      <c r="G303" s="6" t="s">
        <v>132</v>
      </c>
      <c r="H303" s="6" t="s">
        <v>288</v>
      </c>
      <c r="I303" s="6" t="s">
        <v>924</v>
      </c>
      <c r="J303" s="6" t="s">
        <v>113</v>
      </c>
    </row>
    <row r="304" ht="15.75" customHeight="1">
      <c r="A304" s="6" t="s">
        <v>925</v>
      </c>
      <c r="B304" s="6" t="s">
        <v>20</v>
      </c>
      <c r="C304" s="6" t="s">
        <v>926</v>
      </c>
      <c r="D304" s="6" t="s">
        <v>45</v>
      </c>
      <c r="E304" s="6" t="s">
        <v>133</v>
      </c>
      <c r="F304" s="6" t="s">
        <v>560</v>
      </c>
      <c r="G304" s="6" t="s">
        <v>287</v>
      </c>
      <c r="H304" s="6" t="s">
        <v>288</v>
      </c>
      <c r="I304" s="6" t="s">
        <v>871</v>
      </c>
      <c r="J304" s="6" t="s">
        <v>113</v>
      </c>
    </row>
    <row r="305" ht="15.75" customHeight="1">
      <c r="A305" s="6" t="s">
        <v>928</v>
      </c>
      <c r="B305" s="6" t="s">
        <v>43</v>
      </c>
      <c r="C305" s="6" t="s">
        <v>929</v>
      </c>
      <c r="D305" s="6" t="s">
        <v>24</v>
      </c>
      <c r="E305" s="6" t="s">
        <v>25</v>
      </c>
      <c r="F305" s="6" t="s">
        <v>546</v>
      </c>
      <c r="G305" s="6" t="s">
        <v>81</v>
      </c>
      <c r="H305" s="6" t="s">
        <v>288</v>
      </c>
      <c r="I305" s="6" t="s">
        <v>266</v>
      </c>
      <c r="J305" s="6" t="s">
        <v>113</v>
      </c>
    </row>
    <row r="306" ht="15.75" customHeight="1">
      <c r="A306" s="6" t="s">
        <v>930</v>
      </c>
      <c r="B306" s="6" t="s">
        <v>20</v>
      </c>
      <c r="C306" s="6" t="s">
        <v>931</v>
      </c>
      <c r="D306" s="6" t="s">
        <v>45</v>
      </c>
      <c r="E306" s="6" t="s">
        <v>133</v>
      </c>
      <c r="F306" s="6" t="s">
        <v>247</v>
      </c>
      <c r="G306" s="6" t="s">
        <v>287</v>
      </c>
      <c r="H306" s="6" t="s">
        <v>347</v>
      </c>
      <c r="I306" s="6" t="s">
        <v>932</v>
      </c>
      <c r="J306" s="6" t="s">
        <v>33</v>
      </c>
    </row>
    <row r="307" ht="15.75" customHeight="1">
      <c r="A307" s="6" t="s">
        <v>933</v>
      </c>
      <c r="B307" s="6" t="s">
        <v>20</v>
      </c>
      <c r="C307" s="6" t="s">
        <v>934</v>
      </c>
      <c r="D307" s="6" t="s">
        <v>24</v>
      </c>
      <c r="E307" s="6" t="s">
        <v>25</v>
      </c>
      <c r="F307" s="6" t="s">
        <v>247</v>
      </c>
      <c r="G307" s="6" t="s">
        <v>107</v>
      </c>
      <c r="H307" s="6" t="s">
        <v>347</v>
      </c>
      <c r="I307" s="6" t="s">
        <v>233</v>
      </c>
      <c r="J307" s="6" t="s">
        <v>33</v>
      </c>
    </row>
    <row r="308" ht="15.75" customHeight="1">
      <c r="A308" s="6" t="s">
        <v>248</v>
      </c>
      <c r="B308" s="6" t="s">
        <v>20</v>
      </c>
      <c r="C308" s="6" t="s">
        <v>936</v>
      </c>
      <c r="D308" s="6" t="s">
        <v>38</v>
      </c>
      <c r="E308" s="6" t="s">
        <v>26</v>
      </c>
      <c r="F308" s="6" t="s">
        <v>937</v>
      </c>
      <c r="G308" s="6" t="s">
        <v>805</v>
      </c>
      <c r="H308" s="6" t="s">
        <v>347</v>
      </c>
      <c r="I308" s="6" t="s">
        <v>510</v>
      </c>
      <c r="J308" s="6" t="s">
        <v>33</v>
      </c>
    </row>
    <row r="309" ht="15.75" customHeight="1">
      <c r="A309" s="6" t="s">
        <v>852</v>
      </c>
      <c r="B309" s="6" t="s">
        <v>20</v>
      </c>
      <c r="C309" s="6" t="s">
        <v>938</v>
      </c>
      <c r="D309" s="6" t="s">
        <v>24</v>
      </c>
      <c r="E309" s="6" t="s">
        <v>25</v>
      </c>
      <c r="F309" s="6" t="s">
        <v>642</v>
      </c>
      <c r="G309" s="6" t="s">
        <v>334</v>
      </c>
      <c r="H309" s="6" t="s">
        <v>347</v>
      </c>
      <c r="I309" s="6" t="s">
        <v>303</v>
      </c>
      <c r="J309" s="6" t="s">
        <v>33</v>
      </c>
    </row>
    <row r="310" ht="15.75" customHeight="1">
      <c r="A310" s="6" t="s">
        <v>939</v>
      </c>
      <c r="B310" s="6" t="s">
        <v>20</v>
      </c>
      <c r="C310" s="6" t="s">
        <v>940</v>
      </c>
      <c r="D310" s="6" t="s">
        <v>24</v>
      </c>
      <c r="E310" s="6" t="s">
        <v>25</v>
      </c>
      <c r="F310" s="6" t="s">
        <v>150</v>
      </c>
      <c r="G310" s="6" t="s">
        <v>287</v>
      </c>
      <c r="H310" s="6" t="s">
        <v>347</v>
      </c>
      <c r="I310" s="6" t="s">
        <v>224</v>
      </c>
      <c r="J310" s="6" t="s">
        <v>33</v>
      </c>
    </row>
    <row r="311" ht="15.75" customHeight="1">
      <c r="A311" s="6" t="s">
        <v>941</v>
      </c>
      <c r="B311" s="6" t="s">
        <v>20</v>
      </c>
      <c r="C311" s="6" t="s">
        <v>942</v>
      </c>
      <c r="D311" s="6" t="s">
        <v>38</v>
      </c>
      <c r="E311" s="6" t="s">
        <v>25</v>
      </c>
      <c r="F311" s="6" t="s">
        <v>943</v>
      </c>
      <c r="G311" s="6" t="s">
        <v>315</v>
      </c>
      <c r="H311" s="6" t="s">
        <v>347</v>
      </c>
      <c r="I311" s="6" t="s">
        <v>155</v>
      </c>
      <c r="J311" s="6" t="s">
        <v>33</v>
      </c>
    </row>
    <row r="312" ht="15.75" customHeight="1">
      <c r="A312" s="6" t="s">
        <v>944</v>
      </c>
      <c r="B312" s="6" t="s">
        <v>43</v>
      </c>
      <c r="C312" s="6" t="s">
        <v>945</v>
      </c>
      <c r="D312" s="6" t="s">
        <v>45</v>
      </c>
      <c r="E312" s="6" t="s">
        <v>25</v>
      </c>
      <c r="F312" s="6" t="s">
        <v>300</v>
      </c>
      <c r="G312" s="6" t="s">
        <v>48</v>
      </c>
      <c r="H312" s="6" t="s">
        <v>347</v>
      </c>
      <c r="I312" s="6" t="s">
        <v>303</v>
      </c>
      <c r="J312" s="6" t="s">
        <v>33</v>
      </c>
    </row>
    <row r="313" ht="15.75" customHeight="1">
      <c r="A313" s="6" t="s">
        <v>946</v>
      </c>
      <c r="B313" s="6" t="s">
        <v>43</v>
      </c>
      <c r="C313" s="6" t="s">
        <v>947</v>
      </c>
      <c r="D313" s="6" t="s">
        <v>45</v>
      </c>
      <c r="E313" s="6" t="s">
        <v>25</v>
      </c>
      <c r="F313" s="6" t="s">
        <v>745</v>
      </c>
      <c r="G313" s="6" t="s">
        <v>117</v>
      </c>
      <c r="H313" s="6" t="s">
        <v>347</v>
      </c>
      <c r="I313" s="6" t="s">
        <v>306</v>
      </c>
      <c r="J313" s="6" t="s">
        <v>33</v>
      </c>
    </row>
    <row r="314" ht="15.75" customHeight="1">
      <c r="A314" s="6" t="s">
        <v>948</v>
      </c>
      <c r="B314" s="6" t="s">
        <v>43</v>
      </c>
      <c r="C314" s="6" t="s">
        <v>949</v>
      </c>
      <c r="D314" s="6" t="s">
        <v>45</v>
      </c>
      <c r="E314" s="6" t="s">
        <v>25</v>
      </c>
      <c r="F314" s="6" t="s">
        <v>817</v>
      </c>
      <c r="G314" s="6" t="s">
        <v>218</v>
      </c>
      <c r="H314" s="6" t="s">
        <v>347</v>
      </c>
      <c r="I314" s="6" t="s">
        <v>94</v>
      </c>
      <c r="J314" s="6" t="s">
        <v>33</v>
      </c>
    </row>
    <row r="315" ht="15.75" customHeight="1">
      <c r="A315" s="6" t="s">
        <v>443</v>
      </c>
      <c r="B315" s="6" t="s">
        <v>43</v>
      </c>
      <c r="C315" s="6" t="s">
        <v>950</v>
      </c>
      <c r="D315" s="6" t="s">
        <v>45</v>
      </c>
      <c r="E315" s="6" t="s">
        <v>25</v>
      </c>
      <c r="F315" s="6" t="s">
        <v>600</v>
      </c>
      <c r="G315" s="6" t="s">
        <v>81</v>
      </c>
      <c r="H315" s="6" t="s">
        <v>347</v>
      </c>
      <c r="I315" s="6" t="s">
        <v>224</v>
      </c>
      <c r="J315" s="6" t="s">
        <v>33</v>
      </c>
    </row>
    <row r="316" ht="15.75" customHeight="1">
      <c r="A316" s="6" t="s">
        <v>158</v>
      </c>
      <c r="B316" s="6" t="s">
        <v>43</v>
      </c>
      <c r="C316" s="6" t="s">
        <v>951</v>
      </c>
      <c r="D316" s="6" t="s">
        <v>45</v>
      </c>
      <c r="E316" s="6" t="s">
        <v>25</v>
      </c>
      <c r="F316" s="6" t="s">
        <v>642</v>
      </c>
      <c r="G316" s="6" t="s">
        <v>952</v>
      </c>
      <c r="H316" s="6" t="s">
        <v>347</v>
      </c>
      <c r="I316" s="6" t="s">
        <v>54</v>
      </c>
      <c r="J316" s="6" t="s">
        <v>33</v>
      </c>
    </row>
    <row r="317" ht="15.75" customHeight="1">
      <c r="A317" s="6" t="s">
        <v>953</v>
      </c>
      <c r="B317" s="6" t="s">
        <v>20</v>
      </c>
      <c r="C317" s="6" t="s">
        <v>954</v>
      </c>
      <c r="D317" s="6" t="s">
        <v>24</v>
      </c>
      <c r="E317" s="6" t="s">
        <v>25</v>
      </c>
      <c r="F317" s="6" t="s">
        <v>116</v>
      </c>
      <c r="G317" s="6" t="s">
        <v>132</v>
      </c>
      <c r="H317" s="6" t="s">
        <v>347</v>
      </c>
      <c r="I317" s="6" t="s">
        <v>219</v>
      </c>
      <c r="J317" s="6" t="s">
        <v>113</v>
      </c>
    </row>
    <row r="318" ht="15.75" customHeight="1">
      <c r="A318" s="6" t="s">
        <v>932</v>
      </c>
      <c r="B318" s="6" t="s">
        <v>20</v>
      </c>
      <c r="C318" s="6" t="s">
        <v>955</v>
      </c>
      <c r="D318" s="6" t="s">
        <v>45</v>
      </c>
      <c r="E318" s="6" t="s">
        <v>25</v>
      </c>
      <c r="F318" s="6" t="s">
        <v>116</v>
      </c>
      <c r="G318" s="6" t="s">
        <v>151</v>
      </c>
      <c r="H318" s="6" t="s">
        <v>347</v>
      </c>
      <c r="I318" s="6" t="s">
        <v>109</v>
      </c>
      <c r="J318" s="6" t="s">
        <v>113</v>
      </c>
    </row>
    <row r="319" ht="15.75" customHeight="1">
      <c r="A319" s="6" t="s">
        <v>956</v>
      </c>
      <c r="B319" s="6" t="s">
        <v>20</v>
      </c>
      <c r="C319" s="6" t="s">
        <v>957</v>
      </c>
      <c r="D319" s="6" t="s">
        <v>38</v>
      </c>
      <c r="E319" s="6" t="s">
        <v>26</v>
      </c>
      <c r="F319" s="6" t="s">
        <v>958</v>
      </c>
      <c r="G319" s="6" t="s">
        <v>959</v>
      </c>
      <c r="H319" s="6" t="s">
        <v>344</v>
      </c>
      <c r="I319" s="6" t="s">
        <v>298</v>
      </c>
      <c r="J319" s="6" t="s">
        <v>33</v>
      </c>
    </row>
    <row r="320" ht="15.75" customHeight="1">
      <c r="A320" s="6" t="s">
        <v>960</v>
      </c>
      <c r="B320" s="6" t="s">
        <v>20</v>
      </c>
      <c r="C320" s="6" t="s">
        <v>961</v>
      </c>
      <c r="D320" s="6" t="s">
        <v>24</v>
      </c>
      <c r="E320" s="6" t="s">
        <v>25</v>
      </c>
      <c r="F320" s="6" t="s">
        <v>962</v>
      </c>
      <c r="G320" s="6" t="s">
        <v>287</v>
      </c>
      <c r="H320" s="6" t="s">
        <v>344</v>
      </c>
      <c r="I320" s="6" t="s">
        <v>109</v>
      </c>
      <c r="J320" s="6" t="s">
        <v>33</v>
      </c>
    </row>
    <row r="321" ht="15.75" customHeight="1">
      <c r="A321" s="6" t="s">
        <v>924</v>
      </c>
      <c r="B321" s="6" t="s">
        <v>20</v>
      </c>
      <c r="C321" s="6" t="s">
        <v>963</v>
      </c>
      <c r="D321" s="6" t="s">
        <v>45</v>
      </c>
      <c r="E321" s="6" t="s">
        <v>25</v>
      </c>
      <c r="F321" s="6" t="s">
        <v>407</v>
      </c>
      <c r="G321" s="6" t="s">
        <v>132</v>
      </c>
      <c r="H321" s="6" t="s">
        <v>344</v>
      </c>
      <c r="I321" s="6" t="s">
        <v>964</v>
      </c>
      <c r="J321" s="6" t="s">
        <v>33</v>
      </c>
    </row>
    <row r="322" ht="15.75" customHeight="1">
      <c r="A322" s="6" t="s">
        <v>965</v>
      </c>
      <c r="B322" s="6" t="s">
        <v>43</v>
      </c>
      <c r="C322" s="6" t="s">
        <v>966</v>
      </c>
      <c r="D322" s="6" t="s">
        <v>45</v>
      </c>
      <c r="E322" s="6" t="s">
        <v>25</v>
      </c>
      <c r="F322" s="6" t="s">
        <v>407</v>
      </c>
      <c r="G322" s="6" t="s">
        <v>48</v>
      </c>
      <c r="H322" s="6" t="s">
        <v>344</v>
      </c>
      <c r="I322" s="6" t="s">
        <v>78</v>
      </c>
      <c r="J322" s="6" t="s">
        <v>33</v>
      </c>
    </row>
    <row r="323" ht="15.75" customHeight="1">
      <c r="A323" s="6" t="s">
        <v>967</v>
      </c>
      <c r="B323" s="6" t="s">
        <v>43</v>
      </c>
      <c r="C323" s="6" t="s">
        <v>968</v>
      </c>
      <c r="D323" s="6" t="s">
        <v>45</v>
      </c>
      <c r="E323" s="6" t="s">
        <v>25</v>
      </c>
      <c r="F323" s="6" t="s">
        <v>300</v>
      </c>
      <c r="G323" s="6" t="s">
        <v>117</v>
      </c>
      <c r="H323" s="6" t="s">
        <v>344</v>
      </c>
      <c r="I323" s="6" t="s">
        <v>238</v>
      </c>
      <c r="J323" s="6" t="s">
        <v>33</v>
      </c>
    </row>
    <row r="324" ht="15.75" customHeight="1">
      <c r="A324" s="6" t="s">
        <v>969</v>
      </c>
      <c r="B324" s="6" t="s">
        <v>43</v>
      </c>
      <c r="C324" s="6" t="s">
        <v>552</v>
      </c>
      <c r="D324" s="6" t="s">
        <v>24</v>
      </c>
      <c r="E324" s="6" t="s">
        <v>25</v>
      </c>
      <c r="F324" s="6" t="s">
        <v>593</v>
      </c>
      <c r="G324" s="6" t="s">
        <v>48</v>
      </c>
      <c r="H324" s="6" t="s">
        <v>344</v>
      </c>
      <c r="I324" s="6" t="s">
        <v>86</v>
      </c>
      <c r="J324" s="6" t="s">
        <v>33</v>
      </c>
    </row>
    <row r="325" ht="15.75" customHeight="1">
      <c r="A325" s="6" t="s">
        <v>505</v>
      </c>
      <c r="B325" s="6" t="s">
        <v>43</v>
      </c>
      <c r="C325" s="6" t="s">
        <v>971</v>
      </c>
      <c r="D325" s="6" t="s">
        <v>45</v>
      </c>
      <c r="E325" s="6" t="s">
        <v>25</v>
      </c>
      <c r="F325" s="6" t="s">
        <v>972</v>
      </c>
      <c r="G325" s="6" t="s">
        <v>132</v>
      </c>
      <c r="H325" s="6" t="s">
        <v>344</v>
      </c>
      <c r="I325" s="6" t="s">
        <v>155</v>
      </c>
      <c r="J325" s="6" t="s">
        <v>33</v>
      </c>
    </row>
    <row r="326" ht="15.75" customHeight="1">
      <c r="A326" s="6" t="s">
        <v>973</v>
      </c>
      <c r="B326" s="6" t="s">
        <v>43</v>
      </c>
      <c r="C326" s="6" t="s">
        <v>974</v>
      </c>
      <c r="D326" s="6" t="s">
        <v>57</v>
      </c>
      <c r="E326" s="6" t="s">
        <v>25</v>
      </c>
      <c r="F326" s="6" t="s">
        <v>122</v>
      </c>
      <c r="G326" s="6" t="s">
        <v>617</v>
      </c>
      <c r="H326" s="6" t="s">
        <v>344</v>
      </c>
      <c r="I326" s="6" t="s">
        <v>344</v>
      </c>
      <c r="J326" s="6" t="s">
        <v>33</v>
      </c>
    </row>
    <row r="327" ht="15.75" customHeight="1">
      <c r="A327" s="6" t="s">
        <v>975</v>
      </c>
      <c r="B327" s="6" t="s">
        <v>20</v>
      </c>
      <c r="C327" s="6" t="s">
        <v>976</v>
      </c>
      <c r="D327" s="6" t="s">
        <v>57</v>
      </c>
      <c r="E327" s="6" t="s">
        <v>133</v>
      </c>
      <c r="F327" s="6" t="s">
        <v>977</v>
      </c>
      <c r="G327" s="6" t="s">
        <v>287</v>
      </c>
      <c r="H327" s="6" t="s">
        <v>344</v>
      </c>
      <c r="I327" s="6" t="s">
        <v>32</v>
      </c>
      <c r="J327" s="6" t="s">
        <v>113</v>
      </c>
    </row>
    <row r="328" ht="15.75" customHeight="1">
      <c r="A328" s="6" t="s">
        <v>978</v>
      </c>
      <c r="B328" s="6" t="s">
        <v>20</v>
      </c>
      <c r="C328" s="6" t="s">
        <v>979</v>
      </c>
      <c r="D328" s="6" t="s">
        <v>45</v>
      </c>
      <c r="E328" s="6" t="s">
        <v>25</v>
      </c>
      <c r="F328" s="6" t="s">
        <v>530</v>
      </c>
      <c r="G328" s="6" t="s">
        <v>287</v>
      </c>
      <c r="H328" s="6" t="s">
        <v>344</v>
      </c>
      <c r="I328" s="6" t="s">
        <v>139</v>
      </c>
      <c r="J328" s="6" t="s">
        <v>113</v>
      </c>
    </row>
    <row r="329" ht="15.75" customHeight="1">
      <c r="A329" s="6" t="s">
        <v>980</v>
      </c>
      <c r="B329" s="6" t="s">
        <v>20</v>
      </c>
      <c r="C329" s="6" t="s">
        <v>981</v>
      </c>
      <c r="D329" s="6" t="s">
        <v>273</v>
      </c>
      <c r="E329" s="6" t="s">
        <v>26</v>
      </c>
      <c r="F329" s="6" t="s">
        <v>305</v>
      </c>
      <c r="G329" s="6" t="s">
        <v>805</v>
      </c>
      <c r="H329" s="6" t="s">
        <v>162</v>
      </c>
      <c r="I329" s="6" t="s">
        <v>471</v>
      </c>
      <c r="J329" s="6" t="s">
        <v>33</v>
      </c>
    </row>
    <row r="330" ht="15.75" customHeight="1">
      <c r="A330" s="6" t="s">
        <v>982</v>
      </c>
      <c r="B330" s="6" t="s">
        <v>20</v>
      </c>
      <c r="C330" s="6" t="s">
        <v>983</v>
      </c>
      <c r="D330" s="6" t="s">
        <v>273</v>
      </c>
      <c r="E330" s="6" t="s">
        <v>26</v>
      </c>
      <c r="F330" s="6" t="s">
        <v>984</v>
      </c>
      <c r="G330" s="6" t="s">
        <v>329</v>
      </c>
      <c r="H330" s="6" t="s">
        <v>162</v>
      </c>
      <c r="I330" s="6" t="s">
        <v>338</v>
      </c>
      <c r="J330" s="6" t="s">
        <v>33</v>
      </c>
    </row>
    <row r="331" ht="15.75" customHeight="1">
      <c r="A331" s="6" t="s">
        <v>985</v>
      </c>
      <c r="B331" s="6" t="s">
        <v>20</v>
      </c>
      <c r="C331" s="6" t="s">
        <v>986</v>
      </c>
      <c r="D331" s="6" t="s">
        <v>24</v>
      </c>
      <c r="E331" s="6" t="s">
        <v>25</v>
      </c>
      <c r="F331" s="6" t="s">
        <v>126</v>
      </c>
      <c r="G331" s="6" t="s">
        <v>492</v>
      </c>
      <c r="H331" s="6" t="s">
        <v>162</v>
      </c>
      <c r="I331" s="6" t="s">
        <v>490</v>
      </c>
      <c r="J331" s="6" t="s">
        <v>33</v>
      </c>
    </row>
    <row r="332" ht="15.75" customHeight="1">
      <c r="A332" s="6" t="s">
        <v>988</v>
      </c>
      <c r="B332" s="6" t="s">
        <v>43</v>
      </c>
      <c r="C332" s="6" t="s">
        <v>989</v>
      </c>
      <c r="D332" s="6" t="s">
        <v>45</v>
      </c>
      <c r="E332" s="6" t="s">
        <v>25</v>
      </c>
      <c r="F332" s="6" t="s">
        <v>524</v>
      </c>
      <c r="G332" s="6" t="s">
        <v>48</v>
      </c>
      <c r="H332" s="6" t="s">
        <v>162</v>
      </c>
      <c r="I332" s="6" t="s">
        <v>32</v>
      </c>
      <c r="J332" s="6" t="s">
        <v>33</v>
      </c>
    </row>
    <row r="333" ht="15.75" customHeight="1">
      <c r="A333" s="6" t="s">
        <v>990</v>
      </c>
      <c r="B333" s="6" t="s">
        <v>43</v>
      </c>
      <c r="C333" s="6" t="s">
        <v>991</v>
      </c>
      <c r="D333" s="6" t="s">
        <v>38</v>
      </c>
      <c r="E333" s="6" t="s">
        <v>25</v>
      </c>
      <c r="F333" s="6" t="s">
        <v>880</v>
      </c>
      <c r="G333" s="6" t="s">
        <v>334</v>
      </c>
      <c r="H333" s="6" t="s">
        <v>162</v>
      </c>
      <c r="I333" s="6" t="s">
        <v>112</v>
      </c>
      <c r="J333" s="6" t="s">
        <v>33</v>
      </c>
    </row>
    <row r="334" ht="15.75" customHeight="1">
      <c r="A334" s="6" t="s">
        <v>992</v>
      </c>
      <c r="B334" s="6" t="s">
        <v>43</v>
      </c>
      <c r="C334" s="6" t="s">
        <v>993</v>
      </c>
      <c r="D334" s="6" t="s">
        <v>24</v>
      </c>
      <c r="E334" s="6" t="s">
        <v>25</v>
      </c>
      <c r="F334" s="6" t="s">
        <v>994</v>
      </c>
      <c r="G334" s="6" t="s">
        <v>334</v>
      </c>
      <c r="H334" s="6" t="s">
        <v>162</v>
      </c>
      <c r="I334" s="6" t="s">
        <v>70</v>
      </c>
      <c r="J334" s="6" t="s">
        <v>33</v>
      </c>
    </row>
    <row r="335" ht="15.75" customHeight="1">
      <c r="A335" s="6" t="s">
        <v>995</v>
      </c>
      <c r="B335" s="6" t="s">
        <v>43</v>
      </c>
      <c r="C335" s="6" t="s">
        <v>996</v>
      </c>
      <c r="D335" s="6" t="s">
        <v>45</v>
      </c>
      <c r="E335" s="6" t="s">
        <v>25</v>
      </c>
      <c r="F335" s="6" t="s">
        <v>524</v>
      </c>
      <c r="G335" s="6" t="s">
        <v>361</v>
      </c>
      <c r="H335" s="6" t="s">
        <v>162</v>
      </c>
      <c r="I335" s="6" t="s">
        <v>198</v>
      </c>
      <c r="J335" s="6" t="s">
        <v>113</v>
      </c>
    </row>
    <row r="336" ht="15.75" customHeight="1">
      <c r="A336" s="6" t="s">
        <v>997</v>
      </c>
      <c r="B336" s="6" t="s">
        <v>20</v>
      </c>
      <c r="C336" s="6" t="s">
        <v>998</v>
      </c>
      <c r="D336" s="6" t="s">
        <v>57</v>
      </c>
      <c r="E336" s="6" t="s">
        <v>133</v>
      </c>
      <c r="F336" s="6" t="s">
        <v>606</v>
      </c>
      <c r="G336" s="6" t="s">
        <v>287</v>
      </c>
      <c r="H336" s="6" t="s">
        <v>338</v>
      </c>
      <c r="I336" s="6" t="s">
        <v>999</v>
      </c>
      <c r="J336" s="6" t="s">
        <v>33</v>
      </c>
    </row>
    <row r="337" ht="15.75" customHeight="1">
      <c r="A337" s="6" t="s">
        <v>1000</v>
      </c>
      <c r="B337" s="6" t="s">
        <v>20</v>
      </c>
      <c r="C337" s="6" t="s">
        <v>1001</v>
      </c>
      <c r="D337" s="6" t="s">
        <v>38</v>
      </c>
      <c r="E337" s="6" t="s">
        <v>26</v>
      </c>
      <c r="F337" s="6" t="s">
        <v>1002</v>
      </c>
      <c r="G337" s="6" t="s">
        <v>315</v>
      </c>
      <c r="H337" s="6" t="s">
        <v>338</v>
      </c>
      <c r="I337" s="6" t="s">
        <v>245</v>
      </c>
      <c r="J337" s="6" t="s">
        <v>33</v>
      </c>
    </row>
    <row r="338" ht="15.75" customHeight="1">
      <c r="A338" s="6" t="s">
        <v>1003</v>
      </c>
      <c r="B338" s="6" t="s">
        <v>43</v>
      </c>
      <c r="C338" s="6" t="s">
        <v>1004</v>
      </c>
      <c r="D338" s="6" t="s">
        <v>45</v>
      </c>
      <c r="E338" s="6" t="s">
        <v>25</v>
      </c>
      <c r="F338" s="6" t="s">
        <v>1005</v>
      </c>
      <c r="G338" s="6" t="s">
        <v>151</v>
      </c>
      <c r="H338" s="6" t="s">
        <v>338</v>
      </c>
      <c r="I338" s="6" t="s">
        <v>35</v>
      </c>
      <c r="J338" s="6" t="s">
        <v>33</v>
      </c>
    </row>
    <row r="339" ht="15.75" customHeight="1">
      <c r="A339" s="6" t="s">
        <v>1007</v>
      </c>
      <c r="B339" s="6" t="s">
        <v>43</v>
      </c>
      <c r="C339" s="6" t="s">
        <v>1008</v>
      </c>
      <c r="D339" s="6" t="s">
        <v>57</v>
      </c>
      <c r="E339" s="6" t="s">
        <v>25</v>
      </c>
      <c r="F339" s="6" t="s">
        <v>1009</v>
      </c>
      <c r="G339" s="6" t="s">
        <v>617</v>
      </c>
      <c r="H339" s="6" t="s">
        <v>338</v>
      </c>
      <c r="I339" s="6" t="s">
        <v>184</v>
      </c>
      <c r="J339" s="6" t="s">
        <v>33</v>
      </c>
    </row>
    <row r="340" ht="15.75" customHeight="1">
      <c r="A340" s="6" t="s">
        <v>1010</v>
      </c>
      <c r="B340" s="6" t="s">
        <v>43</v>
      </c>
      <c r="C340" s="6" t="s">
        <v>1011</v>
      </c>
      <c r="D340" s="6" t="s">
        <v>57</v>
      </c>
      <c r="E340" s="6" t="s">
        <v>25</v>
      </c>
      <c r="F340" s="6" t="s">
        <v>537</v>
      </c>
      <c r="G340" s="6" t="s">
        <v>1012</v>
      </c>
      <c r="H340" s="6" t="s">
        <v>338</v>
      </c>
      <c r="I340" s="6" t="s">
        <v>871</v>
      </c>
      <c r="J340" s="6" t="s">
        <v>33</v>
      </c>
    </row>
    <row r="341" ht="15.75" customHeight="1">
      <c r="A341" s="6" t="s">
        <v>1013</v>
      </c>
      <c r="B341" s="6" t="s">
        <v>43</v>
      </c>
      <c r="C341" s="6" t="s">
        <v>1014</v>
      </c>
      <c r="D341" s="6" t="s">
        <v>57</v>
      </c>
      <c r="E341" s="6" t="s">
        <v>25</v>
      </c>
      <c r="F341" s="6" t="s">
        <v>157</v>
      </c>
      <c r="G341" s="6" t="s">
        <v>1015</v>
      </c>
      <c r="H341" s="6" t="s">
        <v>338</v>
      </c>
      <c r="I341" s="6" t="s">
        <v>956</v>
      </c>
      <c r="J341" s="6" t="s">
        <v>33</v>
      </c>
    </row>
    <row r="342" ht="15.75" customHeight="1">
      <c r="A342" s="6" t="s">
        <v>1016</v>
      </c>
      <c r="B342" s="6" t="s">
        <v>20</v>
      </c>
      <c r="C342" s="6" t="s">
        <v>1017</v>
      </c>
      <c r="D342" s="6" t="s">
        <v>45</v>
      </c>
      <c r="E342" s="6" t="s">
        <v>26</v>
      </c>
      <c r="F342" s="6" t="s">
        <v>1018</v>
      </c>
      <c r="G342" s="6" t="s">
        <v>693</v>
      </c>
      <c r="H342" s="6" t="s">
        <v>338</v>
      </c>
      <c r="I342" s="6" t="s">
        <v>839</v>
      </c>
      <c r="J342" s="6" t="s">
        <v>113</v>
      </c>
    </row>
    <row r="343" ht="15.75" customHeight="1">
      <c r="A343" s="6" t="s">
        <v>1019</v>
      </c>
      <c r="B343" s="6" t="s">
        <v>43</v>
      </c>
      <c r="C343" s="6" t="s">
        <v>1020</v>
      </c>
      <c r="D343" s="6" t="s">
        <v>45</v>
      </c>
      <c r="E343" s="6" t="s">
        <v>25</v>
      </c>
      <c r="F343" s="6" t="s">
        <v>524</v>
      </c>
      <c r="G343" s="6" t="s">
        <v>117</v>
      </c>
      <c r="H343" s="6" t="s">
        <v>338</v>
      </c>
      <c r="I343" s="6" t="s">
        <v>453</v>
      </c>
      <c r="J343" s="6" t="s">
        <v>113</v>
      </c>
    </row>
    <row r="344" ht="15.75" customHeight="1">
      <c r="A344" s="6" t="s">
        <v>1021</v>
      </c>
      <c r="B344" s="6" t="s">
        <v>20</v>
      </c>
      <c r="C344" s="6" t="s">
        <v>1022</v>
      </c>
      <c r="D344" s="6" t="s">
        <v>38</v>
      </c>
      <c r="E344" s="6" t="s">
        <v>26</v>
      </c>
      <c r="F344" s="6" t="s">
        <v>1023</v>
      </c>
      <c r="G344" s="6" t="s">
        <v>263</v>
      </c>
      <c r="H344" s="6" t="s">
        <v>335</v>
      </c>
      <c r="I344" s="6" t="s">
        <v>544</v>
      </c>
      <c r="J344" s="6" t="s">
        <v>33</v>
      </c>
    </row>
    <row r="345" ht="15.75" customHeight="1">
      <c r="A345" s="6" t="s">
        <v>1024</v>
      </c>
      <c r="B345" s="6" t="s">
        <v>20</v>
      </c>
      <c r="C345" s="6" t="s">
        <v>1025</v>
      </c>
      <c r="D345" s="6" t="s">
        <v>45</v>
      </c>
      <c r="E345" s="6" t="s">
        <v>25</v>
      </c>
      <c r="F345" s="6" t="s">
        <v>612</v>
      </c>
      <c r="G345" s="6" t="s">
        <v>107</v>
      </c>
      <c r="H345" s="6" t="s">
        <v>335</v>
      </c>
      <c r="I345" s="6" t="s">
        <v>331</v>
      </c>
      <c r="J345" s="6" t="s">
        <v>33</v>
      </c>
    </row>
    <row r="346" ht="15.75" customHeight="1">
      <c r="A346" s="6" t="s">
        <v>1027</v>
      </c>
      <c r="B346" s="6" t="s">
        <v>43</v>
      </c>
      <c r="C346" s="6" t="s">
        <v>1028</v>
      </c>
      <c r="D346" s="6" t="s">
        <v>45</v>
      </c>
      <c r="E346" s="6" t="s">
        <v>25</v>
      </c>
      <c r="F346" s="6" t="s">
        <v>504</v>
      </c>
      <c r="G346" s="6" t="s">
        <v>107</v>
      </c>
      <c r="H346" s="6" t="s">
        <v>335</v>
      </c>
      <c r="I346" s="6" t="s">
        <v>86</v>
      </c>
      <c r="J346" s="6" t="s">
        <v>33</v>
      </c>
    </row>
    <row r="347" ht="15.75" customHeight="1">
      <c r="A347" s="6" t="s">
        <v>1029</v>
      </c>
      <c r="B347" s="6" t="s">
        <v>43</v>
      </c>
      <c r="C347" s="6" t="s">
        <v>1030</v>
      </c>
      <c r="D347" s="6" t="s">
        <v>24</v>
      </c>
      <c r="E347" s="6" t="s">
        <v>25</v>
      </c>
      <c r="F347" s="6" t="s">
        <v>352</v>
      </c>
      <c r="G347" s="6" t="s">
        <v>522</v>
      </c>
      <c r="H347" s="6" t="s">
        <v>335</v>
      </c>
      <c r="I347" s="6" t="s">
        <v>155</v>
      </c>
      <c r="J347" s="6" t="s">
        <v>33</v>
      </c>
    </row>
    <row r="348" ht="15.75" customHeight="1">
      <c r="A348" s="6" t="s">
        <v>1031</v>
      </c>
      <c r="B348" s="6" t="s">
        <v>43</v>
      </c>
      <c r="C348" s="6" t="s">
        <v>1032</v>
      </c>
      <c r="D348" s="6" t="s">
        <v>45</v>
      </c>
      <c r="E348" s="6" t="s">
        <v>25</v>
      </c>
      <c r="F348" s="6" t="s">
        <v>661</v>
      </c>
      <c r="G348" s="6" t="s">
        <v>48</v>
      </c>
      <c r="H348" s="6" t="s">
        <v>335</v>
      </c>
      <c r="I348" s="6" t="s">
        <v>254</v>
      </c>
      <c r="J348" s="6" t="s">
        <v>33</v>
      </c>
    </row>
    <row r="349" ht="15.75" customHeight="1">
      <c r="A349" s="6" t="s">
        <v>1033</v>
      </c>
      <c r="B349" s="6" t="s">
        <v>43</v>
      </c>
      <c r="C349" s="6" t="s">
        <v>1034</v>
      </c>
      <c r="D349" s="6" t="s">
        <v>38</v>
      </c>
      <c r="E349" s="6" t="s">
        <v>26</v>
      </c>
      <c r="F349" s="6" t="s">
        <v>1035</v>
      </c>
      <c r="G349" s="6" t="s">
        <v>215</v>
      </c>
      <c r="H349" s="6" t="s">
        <v>335</v>
      </c>
      <c r="I349" s="6" t="s">
        <v>124</v>
      </c>
      <c r="J349" s="6" t="s">
        <v>33</v>
      </c>
    </row>
    <row r="350" ht="15.75" customHeight="1">
      <c r="A350" s="6" t="s">
        <v>1036</v>
      </c>
      <c r="B350" s="6" t="s">
        <v>43</v>
      </c>
      <c r="C350" s="6" t="s">
        <v>1037</v>
      </c>
      <c r="D350" s="6" t="s">
        <v>213</v>
      </c>
      <c r="E350" s="6" t="s">
        <v>25</v>
      </c>
      <c r="F350" s="6" t="s">
        <v>222</v>
      </c>
      <c r="G350" s="6" t="s">
        <v>98</v>
      </c>
      <c r="H350" s="6" t="s">
        <v>335</v>
      </c>
      <c r="I350" s="6" t="s">
        <v>1038</v>
      </c>
      <c r="J350" s="6" t="s">
        <v>33</v>
      </c>
    </row>
    <row r="351" ht="15.75" customHeight="1">
      <c r="A351" s="6" t="s">
        <v>1039</v>
      </c>
      <c r="B351" s="6" t="s">
        <v>43</v>
      </c>
      <c r="C351" s="6" t="s">
        <v>1040</v>
      </c>
      <c r="D351" s="6" t="s">
        <v>45</v>
      </c>
      <c r="E351" s="6" t="s">
        <v>25</v>
      </c>
      <c r="F351" s="6" t="s">
        <v>1041</v>
      </c>
      <c r="G351" s="6" t="s">
        <v>287</v>
      </c>
      <c r="H351" s="6" t="s">
        <v>335</v>
      </c>
      <c r="I351" s="6" t="s">
        <v>490</v>
      </c>
      <c r="J351" s="6" t="s">
        <v>33</v>
      </c>
    </row>
    <row r="352" ht="15.75" customHeight="1">
      <c r="A352" s="6" t="s">
        <v>1042</v>
      </c>
      <c r="B352" s="6" t="s">
        <v>43</v>
      </c>
      <c r="C352" s="6" t="s">
        <v>1043</v>
      </c>
      <c r="D352" s="6" t="s">
        <v>45</v>
      </c>
      <c r="E352" s="6" t="s">
        <v>25</v>
      </c>
      <c r="F352" s="6" t="s">
        <v>97</v>
      </c>
      <c r="G352" s="6" t="s">
        <v>81</v>
      </c>
      <c r="H352" s="6" t="s">
        <v>335</v>
      </c>
      <c r="I352" s="6" t="s">
        <v>198</v>
      </c>
      <c r="J352" s="6" t="s">
        <v>33</v>
      </c>
    </row>
    <row r="353" ht="15.75" customHeight="1">
      <c r="A353" s="6" t="s">
        <v>1045</v>
      </c>
      <c r="B353" s="6" t="s">
        <v>43</v>
      </c>
      <c r="C353" s="6" t="s">
        <v>1046</v>
      </c>
      <c r="D353" s="6" t="s">
        <v>57</v>
      </c>
      <c r="E353" s="6" t="s">
        <v>25</v>
      </c>
      <c r="F353" s="6" t="s">
        <v>169</v>
      </c>
      <c r="G353" s="6" t="s">
        <v>48</v>
      </c>
      <c r="H353" s="6" t="s">
        <v>335</v>
      </c>
      <c r="I353" s="6" t="s">
        <v>568</v>
      </c>
      <c r="J353" s="6" t="s">
        <v>33</v>
      </c>
    </row>
    <row r="354" ht="15.75" customHeight="1">
      <c r="A354" s="6" t="s">
        <v>1047</v>
      </c>
      <c r="B354" s="6" t="s">
        <v>20</v>
      </c>
      <c r="C354" s="6" t="s">
        <v>1048</v>
      </c>
      <c r="D354" s="6" t="s">
        <v>45</v>
      </c>
      <c r="E354" s="6" t="s">
        <v>133</v>
      </c>
      <c r="F354" s="6" t="s">
        <v>192</v>
      </c>
      <c r="G354" s="6" t="s">
        <v>287</v>
      </c>
      <c r="H354" s="6" t="s">
        <v>335</v>
      </c>
      <c r="I354" s="6" t="s">
        <v>558</v>
      </c>
      <c r="J354" s="6" t="s">
        <v>113</v>
      </c>
    </row>
    <row r="355" ht="15.75" customHeight="1">
      <c r="A355" s="6" t="s">
        <v>1049</v>
      </c>
      <c r="B355" s="6" t="s">
        <v>43</v>
      </c>
      <c r="C355" s="6" t="s">
        <v>1050</v>
      </c>
      <c r="D355" s="6" t="s">
        <v>45</v>
      </c>
      <c r="E355" s="6" t="s">
        <v>25</v>
      </c>
      <c r="F355" s="6" t="s">
        <v>1051</v>
      </c>
      <c r="G355" s="6" t="s">
        <v>218</v>
      </c>
      <c r="H355" s="6" t="s">
        <v>335</v>
      </c>
      <c r="I355" s="6" t="s">
        <v>554</v>
      </c>
      <c r="J355" s="6" t="s">
        <v>113</v>
      </c>
    </row>
    <row r="356" ht="15.75" customHeight="1">
      <c r="A356" s="6" t="s">
        <v>1052</v>
      </c>
      <c r="B356" s="6" t="s">
        <v>20</v>
      </c>
      <c r="C356" s="6" t="s">
        <v>1053</v>
      </c>
      <c r="D356" s="6" t="s">
        <v>24</v>
      </c>
      <c r="E356" s="6" t="s">
        <v>25</v>
      </c>
      <c r="F356" s="6" t="s">
        <v>371</v>
      </c>
      <c r="G356" s="6" t="s">
        <v>492</v>
      </c>
      <c r="H356" s="6" t="s">
        <v>331</v>
      </c>
      <c r="I356" s="6" t="s">
        <v>197</v>
      </c>
      <c r="J356" s="6" t="s">
        <v>33</v>
      </c>
    </row>
    <row r="357" ht="15.75" customHeight="1">
      <c r="A357" s="6" t="s">
        <v>1054</v>
      </c>
      <c r="B357" s="6" t="s">
        <v>20</v>
      </c>
      <c r="C357" s="6" t="s">
        <v>579</v>
      </c>
      <c r="D357" s="6" t="s">
        <v>24</v>
      </c>
      <c r="E357" s="6" t="s">
        <v>25</v>
      </c>
      <c r="F357" s="6" t="s">
        <v>111</v>
      </c>
      <c r="G357" s="6" t="s">
        <v>132</v>
      </c>
      <c r="H357" s="6" t="s">
        <v>331</v>
      </c>
      <c r="I357" s="6" t="s">
        <v>138</v>
      </c>
      <c r="J357" s="6" t="s">
        <v>33</v>
      </c>
    </row>
    <row r="358" ht="15.75" customHeight="1">
      <c r="A358" s="6" t="s">
        <v>1055</v>
      </c>
      <c r="B358" s="6" t="s">
        <v>43</v>
      </c>
      <c r="C358" s="6" t="s">
        <v>1056</v>
      </c>
      <c r="D358" s="6" t="s">
        <v>57</v>
      </c>
      <c r="E358" s="6" t="s">
        <v>25</v>
      </c>
      <c r="F358" s="6" t="s">
        <v>1057</v>
      </c>
      <c r="G358" s="6" t="s">
        <v>617</v>
      </c>
      <c r="H358" s="6" t="s">
        <v>331</v>
      </c>
      <c r="I358" s="6" t="s">
        <v>629</v>
      </c>
      <c r="J358" s="6" t="s">
        <v>33</v>
      </c>
    </row>
    <row r="359" ht="15.75" customHeight="1">
      <c r="A359" s="6" t="s">
        <v>747</v>
      </c>
      <c r="B359" s="6" t="s">
        <v>43</v>
      </c>
      <c r="C359" s="6" t="s">
        <v>1058</v>
      </c>
      <c r="D359" s="6" t="s">
        <v>24</v>
      </c>
      <c r="E359" s="6" t="s">
        <v>25</v>
      </c>
      <c r="F359" s="6" t="s">
        <v>234</v>
      </c>
      <c r="G359" s="6" t="s">
        <v>81</v>
      </c>
      <c r="H359" s="6" t="s">
        <v>331</v>
      </c>
      <c r="I359" s="6" t="s">
        <v>226</v>
      </c>
      <c r="J359" s="6" t="s">
        <v>33</v>
      </c>
    </row>
    <row r="360" ht="15.75" customHeight="1">
      <c r="A360" s="6" t="s">
        <v>538</v>
      </c>
      <c r="B360" s="6" t="s">
        <v>43</v>
      </c>
      <c r="C360" s="6" t="s">
        <v>1059</v>
      </c>
      <c r="D360" s="6" t="s">
        <v>45</v>
      </c>
      <c r="E360" s="6" t="s">
        <v>25</v>
      </c>
      <c r="F360" s="6" t="s">
        <v>831</v>
      </c>
      <c r="G360" s="6" t="s">
        <v>617</v>
      </c>
      <c r="H360" s="6" t="s">
        <v>331</v>
      </c>
      <c r="I360" s="6" t="s">
        <v>275</v>
      </c>
      <c r="J360" s="6" t="s">
        <v>33</v>
      </c>
    </row>
    <row r="361" ht="15.75" customHeight="1">
      <c r="A361" s="6" t="s">
        <v>1061</v>
      </c>
      <c r="B361" s="6" t="s">
        <v>43</v>
      </c>
      <c r="C361" s="6" t="s">
        <v>1062</v>
      </c>
      <c r="D361" s="6" t="s">
        <v>45</v>
      </c>
      <c r="E361" s="6" t="s">
        <v>25</v>
      </c>
      <c r="F361" s="6" t="s">
        <v>582</v>
      </c>
      <c r="G361" s="6" t="s">
        <v>913</v>
      </c>
      <c r="H361" s="6" t="s">
        <v>331</v>
      </c>
      <c r="I361" s="6" t="s">
        <v>190</v>
      </c>
      <c r="J361" s="6" t="s">
        <v>33</v>
      </c>
    </row>
    <row r="362" ht="15.75" customHeight="1">
      <c r="A362" s="6" t="s">
        <v>1063</v>
      </c>
      <c r="B362" s="6" t="s">
        <v>43</v>
      </c>
      <c r="C362" s="6" t="s">
        <v>1064</v>
      </c>
      <c r="D362" s="6" t="s">
        <v>45</v>
      </c>
      <c r="E362" s="6" t="s">
        <v>25</v>
      </c>
      <c r="F362" s="6" t="s">
        <v>1065</v>
      </c>
      <c r="G362" s="6" t="s">
        <v>522</v>
      </c>
      <c r="H362" s="6" t="s">
        <v>331</v>
      </c>
      <c r="I362" s="6" t="s">
        <v>139</v>
      </c>
      <c r="J362" s="6" t="s">
        <v>33</v>
      </c>
    </row>
    <row r="363" ht="15.75" customHeight="1">
      <c r="A363" s="6" t="s">
        <v>1066</v>
      </c>
      <c r="B363" s="6" t="s">
        <v>43</v>
      </c>
      <c r="C363" s="6" t="s">
        <v>1067</v>
      </c>
      <c r="D363" s="6" t="s">
        <v>57</v>
      </c>
      <c r="E363" s="6" t="s">
        <v>25</v>
      </c>
      <c r="F363" s="6" t="s">
        <v>164</v>
      </c>
      <c r="G363" s="6" t="s">
        <v>617</v>
      </c>
      <c r="H363" s="6" t="s">
        <v>331</v>
      </c>
      <c r="I363" s="6" t="s">
        <v>960</v>
      </c>
      <c r="J363" s="6" t="s">
        <v>33</v>
      </c>
    </row>
    <row r="364" ht="15.75" customHeight="1">
      <c r="A364" s="6" t="s">
        <v>1068</v>
      </c>
      <c r="B364" s="6" t="s">
        <v>20</v>
      </c>
      <c r="C364" s="6" t="s">
        <v>1069</v>
      </c>
      <c r="D364" s="6" t="s">
        <v>38</v>
      </c>
      <c r="E364" s="6" t="s">
        <v>25</v>
      </c>
      <c r="F364" s="6" t="s">
        <v>612</v>
      </c>
      <c r="G364" s="6" t="s">
        <v>334</v>
      </c>
      <c r="H364" s="6" t="s">
        <v>331</v>
      </c>
      <c r="I364" s="6" t="s">
        <v>76</v>
      </c>
      <c r="J364" s="6" t="s">
        <v>113</v>
      </c>
    </row>
    <row r="365" ht="15.75" customHeight="1">
      <c r="A365" s="6" t="s">
        <v>1070</v>
      </c>
      <c r="B365" s="6" t="s">
        <v>43</v>
      </c>
      <c r="C365" s="6" t="s">
        <v>1071</v>
      </c>
      <c r="D365" s="6" t="s">
        <v>45</v>
      </c>
      <c r="E365" s="6" t="s">
        <v>25</v>
      </c>
      <c r="F365" s="6" t="s">
        <v>776</v>
      </c>
      <c r="G365" s="6" t="s">
        <v>617</v>
      </c>
      <c r="H365" s="6" t="s">
        <v>331</v>
      </c>
      <c r="I365" s="6" t="s">
        <v>451</v>
      </c>
      <c r="J365" s="6" t="s">
        <v>113</v>
      </c>
    </row>
    <row r="366" ht="15.75" customHeight="1">
      <c r="A366" s="6" t="s">
        <v>1072</v>
      </c>
      <c r="B366" s="6" t="s">
        <v>43</v>
      </c>
      <c r="C366" s="6" t="s">
        <v>1073</v>
      </c>
      <c r="D366" s="6" t="s">
        <v>57</v>
      </c>
      <c r="E366" s="6" t="s">
        <v>25</v>
      </c>
      <c r="F366" s="6" t="s">
        <v>46</v>
      </c>
      <c r="G366" s="6" t="s">
        <v>617</v>
      </c>
      <c r="H366" s="6" t="s">
        <v>331</v>
      </c>
      <c r="I366" s="6" t="s">
        <v>652</v>
      </c>
      <c r="J366" s="6" t="s">
        <v>113</v>
      </c>
    </row>
    <row r="367" ht="15.75" customHeight="1">
      <c r="A367" s="6" t="s">
        <v>1074</v>
      </c>
      <c r="B367" s="6" t="s">
        <v>43</v>
      </c>
      <c r="C367" s="6" t="s">
        <v>1075</v>
      </c>
      <c r="D367" s="6" t="s">
        <v>45</v>
      </c>
      <c r="E367" s="6" t="s">
        <v>25</v>
      </c>
      <c r="F367" s="6" t="s">
        <v>364</v>
      </c>
      <c r="G367" s="6" t="s">
        <v>48</v>
      </c>
      <c r="H367" s="6" t="s">
        <v>331</v>
      </c>
      <c r="I367" s="6" t="s">
        <v>206</v>
      </c>
      <c r="J367" s="6" t="s">
        <v>113</v>
      </c>
    </row>
    <row r="368" ht="15.75" customHeight="1">
      <c r="A368" s="6" t="s">
        <v>597</v>
      </c>
      <c r="B368" s="6" t="s">
        <v>43</v>
      </c>
      <c r="C368" s="6" t="s">
        <v>1077</v>
      </c>
      <c r="D368" s="6" t="s">
        <v>45</v>
      </c>
      <c r="E368" s="6" t="s">
        <v>25</v>
      </c>
      <c r="F368" s="6" t="s">
        <v>164</v>
      </c>
      <c r="G368" s="6" t="s">
        <v>617</v>
      </c>
      <c r="H368" s="6" t="s">
        <v>331</v>
      </c>
      <c r="I368" s="6" t="s">
        <v>845</v>
      </c>
      <c r="J368" s="6" t="s">
        <v>113</v>
      </c>
    </row>
    <row r="369" ht="15.75" customHeight="1">
      <c r="A369" s="6" t="s">
        <v>1078</v>
      </c>
      <c r="B369" s="6" t="s">
        <v>43</v>
      </c>
      <c r="C369" s="6" t="s">
        <v>1079</v>
      </c>
      <c r="D369" s="6" t="s">
        <v>45</v>
      </c>
      <c r="E369" s="6" t="s">
        <v>25</v>
      </c>
      <c r="F369" s="6" t="s">
        <v>1005</v>
      </c>
      <c r="G369" s="6" t="s">
        <v>81</v>
      </c>
      <c r="H369" s="6" t="s">
        <v>331</v>
      </c>
      <c r="I369" s="6" t="s">
        <v>591</v>
      </c>
      <c r="J369" s="6" t="s">
        <v>113</v>
      </c>
    </row>
    <row r="370" ht="15.75" customHeight="1">
      <c r="A370" s="6" t="s">
        <v>1080</v>
      </c>
      <c r="B370" s="6" t="s">
        <v>20</v>
      </c>
      <c r="C370" s="6" t="s">
        <v>1081</v>
      </c>
      <c r="D370" s="6" t="s">
        <v>415</v>
      </c>
      <c r="E370" s="6" t="s">
        <v>25</v>
      </c>
      <c r="F370" s="6" t="s">
        <v>293</v>
      </c>
      <c r="G370" s="6" t="s">
        <v>132</v>
      </c>
      <c r="H370" s="6" t="s">
        <v>326</v>
      </c>
      <c r="I370" s="6" t="s">
        <v>124</v>
      </c>
      <c r="J370" s="6" t="s">
        <v>33</v>
      </c>
    </row>
    <row r="371" ht="15.75" customHeight="1">
      <c r="A371" s="6" t="s">
        <v>1082</v>
      </c>
      <c r="B371" s="6" t="s">
        <v>43</v>
      </c>
      <c r="C371" s="6" t="s">
        <v>1083</v>
      </c>
      <c r="D371" s="6" t="s">
        <v>38</v>
      </c>
      <c r="E371" s="6" t="s">
        <v>25</v>
      </c>
      <c r="F371" s="6" t="s">
        <v>1084</v>
      </c>
      <c r="G371" s="6" t="s">
        <v>334</v>
      </c>
      <c r="H371" s="6" t="s">
        <v>326</v>
      </c>
      <c r="I371" s="6" t="s">
        <v>109</v>
      </c>
      <c r="J371" s="6" t="s">
        <v>33</v>
      </c>
    </row>
    <row r="372" ht="15.75" customHeight="1">
      <c r="A372" s="6" t="s">
        <v>749</v>
      </c>
      <c r="B372" s="6" t="s">
        <v>43</v>
      </c>
      <c r="C372" s="6" t="s">
        <v>934</v>
      </c>
      <c r="D372" s="6" t="s">
        <v>38</v>
      </c>
      <c r="E372" s="6" t="s">
        <v>26</v>
      </c>
      <c r="F372" s="6" t="s">
        <v>1085</v>
      </c>
      <c r="G372" s="6" t="s">
        <v>334</v>
      </c>
      <c r="H372" s="6" t="s">
        <v>326</v>
      </c>
      <c r="I372" s="6" t="s">
        <v>104</v>
      </c>
      <c r="J372" s="6" t="s">
        <v>33</v>
      </c>
    </row>
    <row r="373" ht="15.75" customHeight="1">
      <c r="A373" s="6" t="s">
        <v>1086</v>
      </c>
      <c r="B373" s="6" t="s">
        <v>20</v>
      </c>
      <c r="C373" s="6" t="s">
        <v>1087</v>
      </c>
      <c r="D373" s="6" t="s">
        <v>24</v>
      </c>
      <c r="E373" s="6" t="s">
        <v>25</v>
      </c>
      <c r="F373" s="6" t="s">
        <v>817</v>
      </c>
      <c r="G373" s="6" t="s">
        <v>287</v>
      </c>
      <c r="H373" s="6" t="s">
        <v>143</v>
      </c>
      <c r="I373" s="6" t="s">
        <v>1086</v>
      </c>
      <c r="J373" s="6" t="s">
        <v>33</v>
      </c>
    </row>
    <row r="374" ht="15.75" customHeight="1">
      <c r="A374" s="6" t="s">
        <v>1088</v>
      </c>
      <c r="B374" s="6" t="s">
        <v>20</v>
      </c>
      <c r="C374" s="6" t="s">
        <v>1089</v>
      </c>
      <c r="D374" s="6" t="s">
        <v>45</v>
      </c>
      <c r="E374" s="6" t="s">
        <v>25</v>
      </c>
      <c r="F374" s="6" t="s">
        <v>300</v>
      </c>
      <c r="G374" s="6" t="s">
        <v>107</v>
      </c>
      <c r="H374" s="6" t="s">
        <v>143</v>
      </c>
      <c r="I374" s="6" t="s">
        <v>702</v>
      </c>
      <c r="J374" s="6" t="s">
        <v>33</v>
      </c>
    </row>
    <row r="375" ht="15.75" customHeight="1">
      <c r="A375" s="6" t="s">
        <v>1090</v>
      </c>
      <c r="B375" s="6" t="s">
        <v>20</v>
      </c>
      <c r="C375" s="6" t="s">
        <v>1092</v>
      </c>
      <c r="D375" s="6" t="s">
        <v>24</v>
      </c>
      <c r="E375" s="6" t="s">
        <v>25</v>
      </c>
      <c r="F375" s="6" t="s">
        <v>582</v>
      </c>
      <c r="G375" s="6" t="s">
        <v>287</v>
      </c>
      <c r="H375" s="6" t="s">
        <v>143</v>
      </c>
      <c r="I375" s="6" t="s">
        <v>124</v>
      </c>
      <c r="J375" s="6" t="s">
        <v>33</v>
      </c>
    </row>
    <row r="376" ht="15.75" customHeight="1">
      <c r="A376" s="6" t="s">
        <v>1038</v>
      </c>
      <c r="B376" s="6" t="s">
        <v>20</v>
      </c>
      <c r="C376" s="6" t="s">
        <v>1094</v>
      </c>
      <c r="D376" s="6" t="s">
        <v>45</v>
      </c>
      <c r="E376" s="6" t="s">
        <v>25</v>
      </c>
      <c r="F376" s="6" t="s">
        <v>422</v>
      </c>
      <c r="G376" s="6" t="s">
        <v>1095</v>
      </c>
      <c r="H376" s="6" t="s">
        <v>143</v>
      </c>
      <c r="I376" s="6" t="s">
        <v>233</v>
      </c>
      <c r="J376" s="6" t="s">
        <v>33</v>
      </c>
    </row>
    <row r="377" ht="15.75" customHeight="1">
      <c r="A377" s="6" t="s">
        <v>1097</v>
      </c>
      <c r="B377" s="6" t="s">
        <v>20</v>
      </c>
      <c r="C377" s="6" t="s">
        <v>1098</v>
      </c>
      <c r="D377" s="6" t="s">
        <v>24</v>
      </c>
      <c r="E377" s="6" t="s">
        <v>25</v>
      </c>
      <c r="F377" s="6" t="s">
        <v>600</v>
      </c>
      <c r="G377" s="6" t="s">
        <v>287</v>
      </c>
      <c r="H377" s="6" t="s">
        <v>143</v>
      </c>
      <c r="I377" s="6" t="s">
        <v>138</v>
      </c>
      <c r="J377" s="6" t="s">
        <v>33</v>
      </c>
    </row>
    <row r="378" ht="15.75" customHeight="1">
      <c r="A378" s="6" t="s">
        <v>1099</v>
      </c>
      <c r="B378" s="6" t="s">
        <v>20</v>
      </c>
      <c r="C378" s="6" t="s">
        <v>1100</v>
      </c>
      <c r="D378" s="6" t="s">
        <v>24</v>
      </c>
      <c r="E378" s="6" t="s">
        <v>25</v>
      </c>
      <c r="F378" s="6" t="s">
        <v>725</v>
      </c>
      <c r="G378" s="6" t="s">
        <v>287</v>
      </c>
      <c r="H378" s="6" t="s">
        <v>143</v>
      </c>
      <c r="I378" s="6" t="s">
        <v>275</v>
      </c>
      <c r="J378" s="6" t="s">
        <v>33</v>
      </c>
    </row>
    <row r="379" ht="15.75" customHeight="1">
      <c r="A379" s="6" t="s">
        <v>1101</v>
      </c>
      <c r="B379" s="6" t="s">
        <v>43</v>
      </c>
      <c r="C379" s="6" t="s">
        <v>1102</v>
      </c>
      <c r="D379" s="6" t="s">
        <v>57</v>
      </c>
      <c r="E379" s="6" t="s">
        <v>25</v>
      </c>
      <c r="F379" s="6" t="s">
        <v>287</v>
      </c>
      <c r="G379" s="6" t="s">
        <v>617</v>
      </c>
      <c r="H379" s="6" t="s">
        <v>143</v>
      </c>
      <c r="I379" s="6" t="s">
        <v>856</v>
      </c>
      <c r="J379" s="6" t="s">
        <v>33</v>
      </c>
    </row>
    <row r="380" ht="15.75" customHeight="1">
      <c r="A380" s="6" t="s">
        <v>1103</v>
      </c>
      <c r="B380" s="6" t="s">
        <v>43</v>
      </c>
      <c r="C380" s="6" t="s">
        <v>1104</v>
      </c>
      <c r="D380" s="6" t="s">
        <v>57</v>
      </c>
      <c r="E380" s="6" t="s">
        <v>25</v>
      </c>
      <c r="F380" s="6" t="s">
        <v>482</v>
      </c>
      <c r="G380" s="6" t="s">
        <v>565</v>
      </c>
      <c r="H380" s="6" t="s">
        <v>143</v>
      </c>
      <c r="I380" s="6" t="s">
        <v>297</v>
      </c>
      <c r="J380" s="6" t="s">
        <v>33</v>
      </c>
    </row>
    <row r="381" ht="15.75" customHeight="1">
      <c r="A381" s="6" t="s">
        <v>633</v>
      </c>
      <c r="B381" s="6" t="s">
        <v>43</v>
      </c>
      <c r="C381" s="6" t="s">
        <v>1105</v>
      </c>
      <c r="D381" s="6" t="s">
        <v>45</v>
      </c>
      <c r="E381" s="6" t="s">
        <v>25</v>
      </c>
      <c r="F381" s="6" t="s">
        <v>75</v>
      </c>
      <c r="G381" s="6" t="s">
        <v>81</v>
      </c>
      <c r="H381" s="6" t="s">
        <v>143</v>
      </c>
      <c r="I381" s="6" t="s">
        <v>362</v>
      </c>
      <c r="J381" s="6" t="s">
        <v>33</v>
      </c>
    </row>
    <row r="382" ht="15.75" customHeight="1">
      <c r="A382" s="6" t="s">
        <v>50</v>
      </c>
      <c r="B382" s="6" t="s">
        <v>20</v>
      </c>
      <c r="C382" s="6" t="s">
        <v>1106</v>
      </c>
      <c r="D382" s="6" t="s">
        <v>213</v>
      </c>
      <c r="E382" s="6" t="s">
        <v>25</v>
      </c>
      <c r="F382" s="6" t="s">
        <v>30</v>
      </c>
      <c r="G382" s="6" t="s">
        <v>334</v>
      </c>
      <c r="H382" s="6" t="s">
        <v>143</v>
      </c>
      <c r="I382" s="6" t="s">
        <v>341</v>
      </c>
      <c r="J382" s="6" t="s">
        <v>113</v>
      </c>
    </row>
    <row r="383" ht="15.75" customHeight="1">
      <c r="A383" s="6" t="s">
        <v>1107</v>
      </c>
      <c r="B383" s="6" t="s">
        <v>20</v>
      </c>
      <c r="C383" s="6" t="s">
        <v>378</v>
      </c>
      <c r="D383" s="6" t="s">
        <v>45</v>
      </c>
      <c r="E383" s="6" t="s">
        <v>25</v>
      </c>
      <c r="F383" s="6" t="s">
        <v>102</v>
      </c>
      <c r="G383" s="6" t="s">
        <v>287</v>
      </c>
      <c r="H383" s="6" t="s">
        <v>143</v>
      </c>
      <c r="I383" s="6" t="s">
        <v>201</v>
      </c>
      <c r="J383" s="6" t="s">
        <v>113</v>
      </c>
    </row>
    <row r="384" ht="15.75" customHeight="1">
      <c r="A384" s="6" t="s">
        <v>1108</v>
      </c>
      <c r="B384" s="6" t="s">
        <v>20</v>
      </c>
      <c r="C384" s="6" t="s">
        <v>1109</v>
      </c>
      <c r="D384" s="6" t="s">
        <v>213</v>
      </c>
      <c r="E384" s="6" t="s">
        <v>26</v>
      </c>
      <c r="F384" s="6" t="s">
        <v>1110</v>
      </c>
      <c r="G384" s="6" t="s">
        <v>383</v>
      </c>
      <c r="H384" s="6" t="s">
        <v>143</v>
      </c>
      <c r="I384" s="6" t="s">
        <v>83</v>
      </c>
      <c r="J384" s="6" t="s">
        <v>113</v>
      </c>
    </row>
    <row r="385" ht="15.75" customHeight="1">
      <c r="A385" s="6" t="s">
        <v>1111</v>
      </c>
      <c r="B385" s="6" t="s">
        <v>43</v>
      </c>
      <c r="C385" s="6" t="s">
        <v>1112</v>
      </c>
      <c r="D385" s="6" t="s">
        <v>45</v>
      </c>
      <c r="E385" s="6" t="s">
        <v>25</v>
      </c>
      <c r="F385" s="6" t="s">
        <v>556</v>
      </c>
      <c r="G385" s="6" t="s">
        <v>565</v>
      </c>
      <c r="H385" s="6" t="s">
        <v>143</v>
      </c>
      <c r="I385" s="6" t="s">
        <v>477</v>
      </c>
      <c r="J385" s="6" t="s">
        <v>113</v>
      </c>
    </row>
    <row r="386" ht="15.75" customHeight="1">
      <c r="A386" s="6" t="s">
        <v>964</v>
      </c>
      <c r="B386" s="6" t="s">
        <v>20</v>
      </c>
      <c r="C386" s="6" t="s">
        <v>1113</v>
      </c>
      <c r="D386" s="6" t="s">
        <v>45</v>
      </c>
      <c r="E386" s="6" t="s">
        <v>133</v>
      </c>
      <c r="F386" s="6" t="s">
        <v>215</v>
      </c>
      <c r="G386" s="6" t="s">
        <v>287</v>
      </c>
      <c r="H386" s="6" t="s">
        <v>319</v>
      </c>
      <c r="I386" s="6" t="s">
        <v>1033</v>
      </c>
      <c r="J386" s="6" t="s">
        <v>33</v>
      </c>
    </row>
    <row r="387" ht="15.75" customHeight="1">
      <c r="A387" s="6" t="s">
        <v>1114</v>
      </c>
      <c r="B387" s="6" t="s">
        <v>20</v>
      </c>
      <c r="C387" s="6" t="s">
        <v>1115</v>
      </c>
      <c r="D387" s="6" t="s">
        <v>57</v>
      </c>
      <c r="E387" s="6" t="s">
        <v>133</v>
      </c>
      <c r="F387" s="6" t="s">
        <v>398</v>
      </c>
      <c r="G387" s="6" t="s">
        <v>287</v>
      </c>
      <c r="H387" s="6" t="s">
        <v>319</v>
      </c>
      <c r="I387" s="6" t="s">
        <v>604</v>
      </c>
      <c r="J387" s="6" t="s">
        <v>33</v>
      </c>
    </row>
    <row r="388" ht="15.75" customHeight="1">
      <c r="A388" s="6" t="s">
        <v>899</v>
      </c>
      <c r="B388" s="6" t="s">
        <v>20</v>
      </c>
      <c r="C388" s="6" t="s">
        <v>1116</v>
      </c>
      <c r="D388" s="6" t="s">
        <v>178</v>
      </c>
      <c r="E388" s="6" t="s">
        <v>26</v>
      </c>
      <c r="F388" s="6" t="s">
        <v>508</v>
      </c>
      <c r="G388" s="6" t="s">
        <v>849</v>
      </c>
      <c r="H388" s="6" t="s">
        <v>319</v>
      </c>
      <c r="I388" s="6" t="s">
        <v>338</v>
      </c>
      <c r="J388" s="6" t="s">
        <v>33</v>
      </c>
    </row>
    <row r="389" ht="15.75" customHeight="1">
      <c r="A389" s="6" t="s">
        <v>1117</v>
      </c>
      <c r="B389" s="6" t="s">
        <v>20</v>
      </c>
      <c r="C389" s="6" t="s">
        <v>1118</v>
      </c>
      <c r="D389" s="6" t="s">
        <v>415</v>
      </c>
      <c r="E389" s="6" t="s">
        <v>25</v>
      </c>
      <c r="F389" s="6" t="s">
        <v>716</v>
      </c>
      <c r="G389" s="6" t="s">
        <v>107</v>
      </c>
      <c r="H389" s="6" t="s">
        <v>319</v>
      </c>
      <c r="I389" s="6" t="s">
        <v>438</v>
      </c>
      <c r="J389" s="6" t="s">
        <v>33</v>
      </c>
    </row>
    <row r="390" ht="15.75" customHeight="1">
      <c r="A390" s="6" t="s">
        <v>1119</v>
      </c>
      <c r="B390" s="6" t="s">
        <v>20</v>
      </c>
      <c r="C390" s="6" t="s">
        <v>1120</v>
      </c>
      <c r="D390" s="6" t="s">
        <v>178</v>
      </c>
      <c r="E390" s="6" t="s">
        <v>26</v>
      </c>
      <c r="F390" s="6" t="s">
        <v>848</v>
      </c>
      <c r="G390" s="6" t="s">
        <v>805</v>
      </c>
      <c r="H390" s="6" t="s">
        <v>319</v>
      </c>
      <c r="I390" s="6" t="s">
        <v>358</v>
      </c>
      <c r="J390" s="6" t="s">
        <v>33</v>
      </c>
    </row>
    <row r="391" ht="15.75" customHeight="1">
      <c r="A391" s="6" t="s">
        <v>777</v>
      </c>
      <c r="B391" s="6" t="s">
        <v>43</v>
      </c>
      <c r="C391" s="6" t="s">
        <v>1121</v>
      </c>
      <c r="D391" s="6" t="s">
        <v>24</v>
      </c>
      <c r="E391" s="6" t="s">
        <v>25</v>
      </c>
      <c r="F391" s="6" t="s">
        <v>343</v>
      </c>
      <c r="G391" s="6" t="s">
        <v>81</v>
      </c>
      <c r="H391" s="6" t="s">
        <v>319</v>
      </c>
      <c r="I391" s="6" t="s">
        <v>86</v>
      </c>
      <c r="J391" s="6" t="s">
        <v>33</v>
      </c>
    </row>
    <row r="392" ht="15.75" customHeight="1">
      <c r="A392" s="6" t="s">
        <v>1122</v>
      </c>
      <c r="B392" s="6" t="s">
        <v>43</v>
      </c>
      <c r="C392" s="6" t="s">
        <v>1123</v>
      </c>
      <c r="D392" s="6" t="s">
        <v>45</v>
      </c>
      <c r="E392" s="6" t="s">
        <v>25</v>
      </c>
      <c r="F392" s="6" t="s">
        <v>524</v>
      </c>
      <c r="G392" s="6" t="s">
        <v>1015</v>
      </c>
      <c r="H392" s="6" t="s">
        <v>319</v>
      </c>
      <c r="I392" s="6" t="s">
        <v>109</v>
      </c>
      <c r="J392" s="6" t="s">
        <v>33</v>
      </c>
    </row>
    <row r="393" ht="15.75" customHeight="1">
      <c r="A393" s="6" t="s">
        <v>1124</v>
      </c>
      <c r="B393" s="6" t="s">
        <v>43</v>
      </c>
      <c r="C393" s="6" t="s">
        <v>1125</v>
      </c>
      <c r="D393" s="6" t="s">
        <v>45</v>
      </c>
      <c r="E393" s="6" t="s">
        <v>25</v>
      </c>
      <c r="F393" s="6" t="s">
        <v>1126</v>
      </c>
      <c r="G393" s="6" t="s">
        <v>48</v>
      </c>
      <c r="H393" s="6" t="s">
        <v>319</v>
      </c>
      <c r="I393" s="6" t="s">
        <v>94</v>
      </c>
      <c r="J393" s="6" t="s">
        <v>33</v>
      </c>
    </row>
    <row r="394" ht="15.75" customHeight="1">
      <c r="A394" s="6" t="s">
        <v>1127</v>
      </c>
      <c r="B394" s="6" t="s">
        <v>43</v>
      </c>
      <c r="C394" s="6" t="s">
        <v>1128</v>
      </c>
      <c r="D394" s="6" t="s">
        <v>45</v>
      </c>
      <c r="E394" s="6" t="s">
        <v>25</v>
      </c>
      <c r="F394" s="6" t="s">
        <v>97</v>
      </c>
      <c r="G394" s="6" t="s">
        <v>1015</v>
      </c>
      <c r="H394" s="6" t="s">
        <v>319</v>
      </c>
      <c r="I394" s="6" t="s">
        <v>94</v>
      </c>
      <c r="J394" s="6" t="s">
        <v>33</v>
      </c>
    </row>
    <row r="395" ht="15.75" customHeight="1">
      <c r="A395" s="6" t="s">
        <v>1129</v>
      </c>
      <c r="B395" s="6" t="s">
        <v>43</v>
      </c>
      <c r="C395" s="6" t="s">
        <v>1130</v>
      </c>
      <c r="D395" s="6" t="s">
        <v>57</v>
      </c>
      <c r="E395" s="6" t="s">
        <v>25</v>
      </c>
      <c r="F395" s="6" t="s">
        <v>222</v>
      </c>
      <c r="G395" s="6" t="s">
        <v>1015</v>
      </c>
      <c r="H395" s="6" t="s">
        <v>319</v>
      </c>
      <c r="I395" s="6" t="s">
        <v>135</v>
      </c>
      <c r="J395" s="6" t="s">
        <v>33</v>
      </c>
    </row>
    <row r="396" ht="15.75" customHeight="1">
      <c r="A396" s="6" t="s">
        <v>1131</v>
      </c>
      <c r="B396" s="6" t="s">
        <v>43</v>
      </c>
      <c r="C396" s="6" t="s">
        <v>1132</v>
      </c>
      <c r="D396" s="6" t="s">
        <v>45</v>
      </c>
      <c r="E396" s="6" t="s">
        <v>25</v>
      </c>
      <c r="F396" s="6" t="s">
        <v>766</v>
      </c>
      <c r="G396" s="6" t="s">
        <v>218</v>
      </c>
      <c r="H396" s="6" t="s">
        <v>319</v>
      </c>
      <c r="I396" s="6" t="s">
        <v>35</v>
      </c>
      <c r="J396" s="6" t="s">
        <v>33</v>
      </c>
    </row>
    <row r="397" ht="15.75" customHeight="1">
      <c r="A397" s="6" t="s">
        <v>1133</v>
      </c>
      <c r="B397" s="6" t="s">
        <v>43</v>
      </c>
      <c r="C397" s="6" t="s">
        <v>1134</v>
      </c>
      <c r="D397" s="6" t="s">
        <v>45</v>
      </c>
      <c r="E397" s="6" t="s">
        <v>25</v>
      </c>
      <c r="F397" s="6" t="s">
        <v>556</v>
      </c>
      <c r="G397" s="6" t="s">
        <v>218</v>
      </c>
      <c r="H397" s="6" t="s">
        <v>319</v>
      </c>
      <c r="I397" s="6" t="s">
        <v>94</v>
      </c>
      <c r="J397" s="6" t="s">
        <v>33</v>
      </c>
    </row>
    <row r="398" ht="15.75" customHeight="1">
      <c r="A398" s="6" t="s">
        <v>1135</v>
      </c>
      <c r="B398" s="6" t="s">
        <v>43</v>
      </c>
      <c r="C398" s="6" t="s">
        <v>1136</v>
      </c>
      <c r="D398" s="6" t="s">
        <v>45</v>
      </c>
      <c r="E398" s="6" t="s">
        <v>25</v>
      </c>
      <c r="F398" s="6" t="s">
        <v>352</v>
      </c>
      <c r="G398" s="6" t="s">
        <v>1137</v>
      </c>
      <c r="H398" s="6" t="s">
        <v>319</v>
      </c>
      <c r="I398" s="6" t="s">
        <v>70</v>
      </c>
      <c r="J398" s="6" t="s">
        <v>33</v>
      </c>
    </row>
    <row r="399" ht="15.75" customHeight="1">
      <c r="A399" s="6" t="s">
        <v>1138</v>
      </c>
      <c r="B399" s="6" t="s">
        <v>43</v>
      </c>
      <c r="C399" s="6" t="s">
        <v>1139</v>
      </c>
      <c r="D399" s="6" t="s">
        <v>45</v>
      </c>
      <c r="E399" s="6" t="s">
        <v>25</v>
      </c>
      <c r="F399" s="6" t="s">
        <v>701</v>
      </c>
      <c r="G399" s="6" t="s">
        <v>1015</v>
      </c>
      <c r="H399" s="6" t="s">
        <v>319</v>
      </c>
      <c r="I399" s="6" t="s">
        <v>70</v>
      </c>
      <c r="J399" s="6" t="s">
        <v>33</v>
      </c>
    </row>
    <row r="400" ht="15.75" customHeight="1">
      <c r="A400" s="6" t="s">
        <v>1140</v>
      </c>
      <c r="B400" s="6" t="s">
        <v>43</v>
      </c>
      <c r="C400" s="6" t="s">
        <v>1141</v>
      </c>
      <c r="D400" s="6" t="s">
        <v>45</v>
      </c>
      <c r="E400" s="6" t="s">
        <v>25</v>
      </c>
      <c r="F400" s="6" t="s">
        <v>636</v>
      </c>
      <c r="G400" s="6" t="s">
        <v>218</v>
      </c>
      <c r="H400" s="6" t="s">
        <v>319</v>
      </c>
      <c r="I400" s="6" t="s">
        <v>94</v>
      </c>
      <c r="J400" s="6" t="s">
        <v>33</v>
      </c>
    </row>
    <row r="401" ht="15.75" customHeight="1">
      <c r="A401" s="6" t="s">
        <v>1142</v>
      </c>
      <c r="B401" s="6" t="s">
        <v>43</v>
      </c>
      <c r="C401" s="6" t="s">
        <v>1143</v>
      </c>
      <c r="D401" s="6" t="s">
        <v>45</v>
      </c>
      <c r="E401" s="6" t="s">
        <v>25</v>
      </c>
      <c r="F401" s="6" t="s">
        <v>1144</v>
      </c>
      <c r="G401" s="6" t="s">
        <v>98</v>
      </c>
      <c r="H401" s="6" t="s">
        <v>319</v>
      </c>
      <c r="I401" s="6" t="s">
        <v>148</v>
      </c>
      <c r="J401" s="6" t="s">
        <v>33</v>
      </c>
    </row>
    <row r="402" ht="15.75" customHeight="1">
      <c r="A402" s="6" t="s">
        <v>1145</v>
      </c>
      <c r="B402" s="6" t="s">
        <v>43</v>
      </c>
      <c r="C402" s="6" t="s">
        <v>1146</v>
      </c>
      <c r="D402" s="6" t="s">
        <v>45</v>
      </c>
      <c r="E402" s="6" t="s">
        <v>25</v>
      </c>
      <c r="F402" s="6" t="s">
        <v>1147</v>
      </c>
      <c r="G402" s="6" t="s">
        <v>218</v>
      </c>
      <c r="H402" s="6" t="s">
        <v>319</v>
      </c>
      <c r="I402" s="6" t="s">
        <v>94</v>
      </c>
      <c r="J402" s="6" t="s">
        <v>33</v>
      </c>
    </row>
    <row r="403" ht="15.75" customHeight="1">
      <c r="A403" s="6" t="s">
        <v>1148</v>
      </c>
      <c r="B403" s="6" t="s">
        <v>43</v>
      </c>
      <c r="C403" s="6" t="s">
        <v>1149</v>
      </c>
      <c r="D403" s="6" t="s">
        <v>45</v>
      </c>
      <c r="E403" s="6" t="s">
        <v>25</v>
      </c>
      <c r="F403" s="6" t="s">
        <v>1150</v>
      </c>
      <c r="G403" s="6" t="s">
        <v>218</v>
      </c>
      <c r="H403" s="6" t="s">
        <v>319</v>
      </c>
      <c r="I403" s="6" t="s">
        <v>35</v>
      </c>
      <c r="J403" s="6" t="s">
        <v>33</v>
      </c>
    </row>
    <row r="404" ht="15.75" customHeight="1">
      <c r="A404" s="6" t="s">
        <v>1151</v>
      </c>
      <c r="B404" s="6" t="s">
        <v>43</v>
      </c>
      <c r="C404" s="6" t="s">
        <v>1152</v>
      </c>
      <c r="D404" s="6" t="s">
        <v>45</v>
      </c>
      <c r="E404" s="6" t="s">
        <v>25</v>
      </c>
      <c r="F404" s="6" t="s">
        <v>817</v>
      </c>
      <c r="G404" s="6" t="s">
        <v>218</v>
      </c>
      <c r="H404" s="6" t="s">
        <v>319</v>
      </c>
      <c r="I404" s="6" t="s">
        <v>42</v>
      </c>
      <c r="J404" s="6" t="s">
        <v>113</v>
      </c>
    </row>
    <row r="405" ht="15.75" customHeight="1">
      <c r="A405" s="6" t="s">
        <v>1153</v>
      </c>
      <c r="B405" s="6" t="s">
        <v>43</v>
      </c>
      <c r="C405" s="6" t="s">
        <v>1154</v>
      </c>
      <c r="D405" s="6" t="s">
        <v>45</v>
      </c>
      <c r="E405" s="6" t="s">
        <v>25</v>
      </c>
      <c r="F405" s="6" t="s">
        <v>360</v>
      </c>
      <c r="G405" s="6" t="s">
        <v>132</v>
      </c>
      <c r="H405" s="6" t="s">
        <v>319</v>
      </c>
      <c r="I405" s="6" t="s">
        <v>462</v>
      </c>
      <c r="J405" s="6" t="s">
        <v>113</v>
      </c>
    </row>
    <row r="406" ht="15.75" customHeight="1">
      <c r="A406" s="6" t="s">
        <v>1155</v>
      </c>
      <c r="B406" s="6" t="s">
        <v>43</v>
      </c>
      <c r="C406" s="6" t="s">
        <v>1156</v>
      </c>
      <c r="D406" s="6" t="s">
        <v>45</v>
      </c>
      <c r="E406" s="6" t="s">
        <v>25</v>
      </c>
      <c r="F406" s="6" t="s">
        <v>482</v>
      </c>
      <c r="G406" s="6" t="s">
        <v>522</v>
      </c>
      <c r="H406" s="6" t="s">
        <v>319</v>
      </c>
      <c r="I406" s="6" t="s">
        <v>493</v>
      </c>
      <c r="J406" s="6" t="s">
        <v>113</v>
      </c>
    </row>
    <row r="407" ht="15.75" customHeight="1">
      <c r="A407" s="6" t="s">
        <v>1157</v>
      </c>
      <c r="B407" s="6" t="s">
        <v>20</v>
      </c>
      <c r="C407" s="6" t="s">
        <v>1158</v>
      </c>
      <c r="D407" s="6" t="s">
        <v>213</v>
      </c>
      <c r="E407" s="6" t="s">
        <v>26</v>
      </c>
      <c r="F407" s="6" t="s">
        <v>263</v>
      </c>
      <c r="G407" s="6" t="s">
        <v>805</v>
      </c>
      <c r="H407" s="6" t="s">
        <v>206</v>
      </c>
      <c r="I407" s="6" t="s">
        <v>135</v>
      </c>
      <c r="J407" s="6" t="s">
        <v>33</v>
      </c>
    </row>
    <row r="408" ht="15.75" customHeight="1">
      <c r="A408" s="6" t="s">
        <v>1159</v>
      </c>
      <c r="B408" s="6" t="s">
        <v>20</v>
      </c>
      <c r="C408" s="6" t="s">
        <v>1160</v>
      </c>
      <c r="D408" s="6" t="s">
        <v>24</v>
      </c>
      <c r="E408" s="6" t="s">
        <v>25</v>
      </c>
      <c r="F408" s="6" t="s">
        <v>106</v>
      </c>
      <c r="G408" s="6" t="s">
        <v>287</v>
      </c>
      <c r="H408" s="6" t="s">
        <v>206</v>
      </c>
      <c r="I408" s="6" t="s">
        <v>279</v>
      </c>
      <c r="J408" s="6" t="s">
        <v>33</v>
      </c>
    </row>
    <row r="409" ht="15.75" customHeight="1">
      <c r="A409" s="6" t="s">
        <v>999</v>
      </c>
      <c r="B409" s="6" t="s">
        <v>20</v>
      </c>
      <c r="C409" s="6" t="s">
        <v>910</v>
      </c>
      <c r="D409" s="6" t="s">
        <v>178</v>
      </c>
      <c r="E409" s="6" t="s">
        <v>26</v>
      </c>
      <c r="F409" s="6" t="s">
        <v>1161</v>
      </c>
      <c r="G409" s="6" t="s">
        <v>880</v>
      </c>
      <c r="H409" s="6" t="s">
        <v>206</v>
      </c>
      <c r="I409" s="6" t="s">
        <v>95</v>
      </c>
      <c r="J409" s="6" t="s">
        <v>33</v>
      </c>
    </row>
    <row r="410" ht="15.75" customHeight="1">
      <c r="A410" s="6" t="s">
        <v>1162</v>
      </c>
      <c r="B410" s="6" t="s">
        <v>20</v>
      </c>
      <c r="C410" s="6" t="s">
        <v>1163</v>
      </c>
      <c r="D410" s="6" t="s">
        <v>178</v>
      </c>
      <c r="E410" s="6" t="s">
        <v>25</v>
      </c>
      <c r="F410" s="6" t="s">
        <v>89</v>
      </c>
      <c r="G410" s="6" t="s">
        <v>340</v>
      </c>
      <c r="H410" s="6" t="s">
        <v>206</v>
      </c>
      <c r="I410" s="6" t="s">
        <v>152</v>
      </c>
      <c r="J410" s="6" t="s">
        <v>33</v>
      </c>
    </row>
    <row r="411" ht="15.75" customHeight="1">
      <c r="A411" s="6" t="s">
        <v>1164</v>
      </c>
      <c r="B411" s="6" t="s">
        <v>43</v>
      </c>
      <c r="C411" s="6" t="s">
        <v>1165</v>
      </c>
      <c r="D411" s="6" t="s">
        <v>57</v>
      </c>
      <c r="E411" s="6" t="s">
        <v>25</v>
      </c>
      <c r="F411" s="6" t="s">
        <v>431</v>
      </c>
      <c r="G411" s="6" t="s">
        <v>40</v>
      </c>
      <c r="H411" s="6" t="s">
        <v>206</v>
      </c>
      <c r="I411" s="6" t="s">
        <v>1024</v>
      </c>
      <c r="J411" s="6" t="s">
        <v>33</v>
      </c>
    </row>
    <row r="412" ht="15.75" customHeight="1">
      <c r="A412" s="6" t="s">
        <v>1166</v>
      </c>
      <c r="B412" s="6" t="s">
        <v>43</v>
      </c>
      <c r="C412" s="6" t="s">
        <v>1167</v>
      </c>
      <c r="D412" s="6" t="s">
        <v>45</v>
      </c>
      <c r="E412" s="6" t="s">
        <v>25</v>
      </c>
      <c r="F412" s="6" t="s">
        <v>388</v>
      </c>
      <c r="G412" s="6" t="s">
        <v>617</v>
      </c>
      <c r="H412" s="6" t="s">
        <v>206</v>
      </c>
      <c r="I412" s="6" t="s">
        <v>620</v>
      </c>
      <c r="J412" s="6" t="s">
        <v>33</v>
      </c>
    </row>
    <row r="413" ht="15.75" customHeight="1">
      <c r="A413" s="6" t="s">
        <v>527</v>
      </c>
      <c r="B413" s="6" t="s">
        <v>43</v>
      </c>
      <c r="C413" s="6" t="s">
        <v>1168</v>
      </c>
      <c r="D413" s="6" t="s">
        <v>45</v>
      </c>
      <c r="E413" s="6" t="s">
        <v>25</v>
      </c>
      <c r="F413" s="6" t="s">
        <v>1147</v>
      </c>
      <c r="G413" s="6" t="s">
        <v>218</v>
      </c>
      <c r="H413" s="6" t="s">
        <v>206</v>
      </c>
      <c r="I413" s="6" t="s">
        <v>35</v>
      </c>
      <c r="J413" s="6" t="s">
        <v>33</v>
      </c>
    </row>
    <row r="414" ht="15.75" customHeight="1">
      <c r="A414" s="6" t="s">
        <v>1169</v>
      </c>
      <c r="B414" s="6" t="s">
        <v>43</v>
      </c>
      <c r="C414" s="6" t="s">
        <v>1170</v>
      </c>
      <c r="D414" s="6" t="s">
        <v>38</v>
      </c>
      <c r="E414" s="6" t="s">
        <v>26</v>
      </c>
      <c r="F414" s="6" t="s">
        <v>670</v>
      </c>
      <c r="G414" s="6" t="s">
        <v>340</v>
      </c>
      <c r="H414" s="6" t="s">
        <v>206</v>
      </c>
      <c r="I414" s="6" t="s">
        <v>104</v>
      </c>
      <c r="J414" s="6" t="s">
        <v>33</v>
      </c>
    </row>
    <row r="415" ht="15.75" customHeight="1">
      <c r="A415" s="6" t="s">
        <v>1171</v>
      </c>
      <c r="B415" s="6" t="s">
        <v>20</v>
      </c>
      <c r="C415" s="6" t="s">
        <v>1172</v>
      </c>
      <c r="D415" s="6" t="s">
        <v>57</v>
      </c>
      <c r="E415" s="6" t="s">
        <v>133</v>
      </c>
      <c r="F415" s="6" t="s">
        <v>106</v>
      </c>
      <c r="G415" s="6" t="s">
        <v>287</v>
      </c>
      <c r="H415" s="6" t="s">
        <v>206</v>
      </c>
      <c r="I415" s="6" t="s">
        <v>558</v>
      </c>
      <c r="J415" s="6" t="s">
        <v>113</v>
      </c>
    </row>
    <row r="416" ht="15.75" customHeight="1">
      <c r="A416" s="6" t="s">
        <v>1173</v>
      </c>
      <c r="B416" s="6" t="s">
        <v>20</v>
      </c>
      <c r="C416" s="6" t="s">
        <v>1174</v>
      </c>
      <c r="D416" s="6" t="s">
        <v>24</v>
      </c>
      <c r="E416" s="6" t="s">
        <v>25</v>
      </c>
      <c r="F416" s="6" t="s">
        <v>606</v>
      </c>
      <c r="G416" s="6" t="s">
        <v>287</v>
      </c>
      <c r="H416" s="6" t="s">
        <v>206</v>
      </c>
      <c r="I416" s="6" t="s">
        <v>143</v>
      </c>
      <c r="J416" s="6" t="s">
        <v>113</v>
      </c>
    </row>
    <row r="417" ht="15.75" customHeight="1">
      <c r="A417" s="6" t="s">
        <v>1176</v>
      </c>
      <c r="B417" s="6" t="s">
        <v>20</v>
      </c>
      <c r="C417" s="6" t="s">
        <v>1177</v>
      </c>
      <c r="D417" s="6" t="s">
        <v>24</v>
      </c>
      <c r="E417" s="6" t="s">
        <v>25</v>
      </c>
      <c r="F417" s="6" t="s">
        <v>560</v>
      </c>
      <c r="G417" s="6" t="s">
        <v>81</v>
      </c>
      <c r="H417" s="6" t="s">
        <v>83</v>
      </c>
      <c r="I417" s="6" t="s">
        <v>78</v>
      </c>
      <c r="J417" s="6" t="s">
        <v>33</v>
      </c>
    </row>
    <row r="418" ht="15.75" customHeight="1">
      <c r="A418" s="6" t="s">
        <v>1178</v>
      </c>
      <c r="B418" s="6" t="s">
        <v>20</v>
      </c>
      <c r="C418" s="6" t="s">
        <v>1179</v>
      </c>
      <c r="D418" s="6" t="s">
        <v>24</v>
      </c>
      <c r="E418" s="6" t="s">
        <v>25</v>
      </c>
      <c r="F418" s="6" t="s">
        <v>448</v>
      </c>
      <c r="G418" s="6" t="s">
        <v>132</v>
      </c>
      <c r="H418" s="6" t="s">
        <v>83</v>
      </c>
      <c r="I418" s="6" t="s">
        <v>41</v>
      </c>
      <c r="J418" s="6" t="s">
        <v>33</v>
      </c>
    </row>
    <row r="419" ht="15.75" customHeight="1">
      <c r="A419" s="6" t="s">
        <v>1180</v>
      </c>
      <c r="B419" s="6" t="s">
        <v>20</v>
      </c>
      <c r="C419" s="6" t="s">
        <v>1181</v>
      </c>
      <c r="D419" s="6" t="s">
        <v>24</v>
      </c>
      <c r="E419" s="6" t="s">
        <v>25</v>
      </c>
      <c r="F419" s="6" t="s">
        <v>192</v>
      </c>
      <c r="G419" s="6" t="s">
        <v>287</v>
      </c>
      <c r="H419" s="6" t="s">
        <v>83</v>
      </c>
      <c r="I419" s="6" t="s">
        <v>229</v>
      </c>
      <c r="J419" s="6" t="s">
        <v>33</v>
      </c>
    </row>
    <row r="420" ht="15.75" customHeight="1">
      <c r="A420" s="6" t="s">
        <v>1182</v>
      </c>
      <c r="B420" s="6" t="s">
        <v>20</v>
      </c>
      <c r="C420" s="6" t="s">
        <v>1183</v>
      </c>
      <c r="D420" s="6" t="s">
        <v>24</v>
      </c>
      <c r="E420" s="6" t="s">
        <v>25</v>
      </c>
      <c r="F420" s="6" t="s">
        <v>582</v>
      </c>
      <c r="G420" s="6" t="s">
        <v>107</v>
      </c>
      <c r="H420" s="6" t="s">
        <v>83</v>
      </c>
      <c r="I420" s="6" t="s">
        <v>206</v>
      </c>
      <c r="J420" s="6" t="s">
        <v>33</v>
      </c>
    </row>
    <row r="421" ht="15.75" customHeight="1">
      <c r="A421" s="6" t="s">
        <v>1184</v>
      </c>
      <c r="B421" s="6" t="s">
        <v>20</v>
      </c>
      <c r="C421" s="6" t="s">
        <v>1185</v>
      </c>
      <c r="D421" s="6" t="s">
        <v>178</v>
      </c>
      <c r="E421" s="6" t="s">
        <v>26</v>
      </c>
      <c r="F421" s="6" t="s">
        <v>1186</v>
      </c>
      <c r="G421" s="6" t="s">
        <v>1187</v>
      </c>
      <c r="H421" s="6" t="s">
        <v>83</v>
      </c>
      <c r="I421" s="6" t="s">
        <v>162</v>
      </c>
      <c r="J421" s="6" t="s">
        <v>33</v>
      </c>
    </row>
    <row r="422" ht="15.75" customHeight="1">
      <c r="A422" s="6" t="s">
        <v>1188</v>
      </c>
      <c r="B422" s="6" t="s">
        <v>20</v>
      </c>
      <c r="C422" s="6" t="s">
        <v>1189</v>
      </c>
      <c r="D422" s="6" t="s">
        <v>24</v>
      </c>
      <c r="E422" s="6" t="s">
        <v>25</v>
      </c>
      <c r="F422" s="6" t="s">
        <v>286</v>
      </c>
      <c r="G422" s="6" t="s">
        <v>287</v>
      </c>
      <c r="H422" s="6" t="s">
        <v>83</v>
      </c>
      <c r="I422" s="6" t="s">
        <v>174</v>
      </c>
      <c r="J422" s="6" t="s">
        <v>33</v>
      </c>
    </row>
    <row r="423" ht="15.75" customHeight="1">
      <c r="A423" s="6" t="s">
        <v>1190</v>
      </c>
      <c r="B423" s="6" t="s">
        <v>20</v>
      </c>
      <c r="C423" s="6" t="s">
        <v>1191</v>
      </c>
      <c r="D423" s="6" t="s">
        <v>24</v>
      </c>
      <c r="E423" s="6" t="s">
        <v>25</v>
      </c>
      <c r="F423" s="6" t="s">
        <v>654</v>
      </c>
      <c r="G423" s="6" t="s">
        <v>107</v>
      </c>
      <c r="H423" s="6" t="s">
        <v>83</v>
      </c>
      <c r="I423" s="6" t="s">
        <v>288</v>
      </c>
      <c r="J423" s="6" t="s">
        <v>33</v>
      </c>
    </row>
    <row r="424" ht="15.75" customHeight="1">
      <c r="A424" s="6" t="s">
        <v>1192</v>
      </c>
      <c r="B424" s="6" t="s">
        <v>43</v>
      </c>
      <c r="C424" s="6" t="s">
        <v>1193</v>
      </c>
      <c r="D424" s="6" t="s">
        <v>45</v>
      </c>
      <c r="E424" s="6" t="s">
        <v>25</v>
      </c>
      <c r="F424" s="6" t="s">
        <v>504</v>
      </c>
      <c r="G424" s="6" t="s">
        <v>730</v>
      </c>
      <c r="H424" s="6" t="s">
        <v>83</v>
      </c>
      <c r="I424" s="6" t="s">
        <v>659</v>
      </c>
      <c r="J424" s="6" t="s">
        <v>33</v>
      </c>
    </row>
    <row r="425" ht="15.75" customHeight="1">
      <c r="A425" s="6" t="s">
        <v>1194</v>
      </c>
      <c r="B425" s="6" t="s">
        <v>43</v>
      </c>
      <c r="C425" s="6" t="s">
        <v>1195</v>
      </c>
      <c r="D425" s="6" t="s">
        <v>24</v>
      </c>
      <c r="E425" s="6" t="s">
        <v>25</v>
      </c>
      <c r="F425" s="6" t="s">
        <v>217</v>
      </c>
      <c r="G425" s="6" t="s">
        <v>161</v>
      </c>
      <c r="H425" s="6" t="s">
        <v>83</v>
      </c>
      <c r="I425" s="6" t="s">
        <v>252</v>
      </c>
      <c r="J425" s="6" t="s">
        <v>33</v>
      </c>
    </row>
    <row r="426" ht="15.75" customHeight="1">
      <c r="A426" s="6" t="s">
        <v>1196</v>
      </c>
      <c r="B426" s="6" t="s">
        <v>43</v>
      </c>
      <c r="C426" s="6" t="s">
        <v>1197</v>
      </c>
      <c r="D426" s="6" t="s">
        <v>45</v>
      </c>
      <c r="E426" s="6" t="s">
        <v>25</v>
      </c>
      <c r="F426" s="6" t="s">
        <v>556</v>
      </c>
      <c r="G426" s="6" t="s">
        <v>81</v>
      </c>
      <c r="H426" s="6" t="s">
        <v>83</v>
      </c>
      <c r="I426" s="6" t="s">
        <v>622</v>
      </c>
      <c r="J426" s="6" t="s">
        <v>33</v>
      </c>
    </row>
    <row r="427" ht="15.75" customHeight="1">
      <c r="A427" s="6" t="s">
        <v>1198</v>
      </c>
      <c r="B427" s="6" t="s">
        <v>20</v>
      </c>
      <c r="C427" s="6" t="s">
        <v>1199</v>
      </c>
      <c r="D427" s="6" t="s">
        <v>38</v>
      </c>
      <c r="E427" s="6" t="s">
        <v>25</v>
      </c>
      <c r="F427" s="6" t="s">
        <v>468</v>
      </c>
      <c r="G427" s="6" t="s">
        <v>864</v>
      </c>
      <c r="H427" s="6" t="s">
        <v>83</v>
      </c>
      <c r="I427" s="6" t="s">
        <v>201</v>
      </c>
      <c r="J427" s="6" t="s">
        <v>113</v>
      </c>
    </row>
    <row r="428" ht="15.75" customHeight="1">
      <c r="A428" s="6" t="s">
        <v>1200</v>
      </c>
      <c r="B428" s="6" t="s">
        <v>20</v>
      </c>
      <c r="C428" s="6" t="s">
        <v>1201</v>
      </c>
      <c r="D428" s="6" t="s">
        <v>57</v>
      </c>
      <c r="E428" s="6" t="s">
        <v>25</v>
      </c>
      <c r="F428" s="6" t="s">
        <v>150</v>
      </c>
      <c r="G428" s="6" t="s">
        <v>1202</v>
      </c>
      <c r="H428" s="6" t="s">
        <v>83</v>
      </c>
      <c r="I428" s="6" t="s">
        <v>127</v>
      </c>
      <c r="J428" s="6" t="s">
        <v>113</v>
      </c>
    </row>
    <row r="429" ht="15.75" customHeight="1">
      <c r="A429" s="6" t="s">
        <v>1203</v>
      </c>
      <c r="B429" s="6" t="s">
        <v>20</v>
      </c>
      <c r="C429" s="6" t="s">
        <v>1204</v>
      </c>
      <c r="D429" s="6" t="s">
        <v>24</v>
      </c>
      <c r="E429" s="6" t="s">
        <v>25</v>
      </c>
      <c r="F429" s="6" t="s">
        <v>606</v>
      </c>
      <c r="G429" s="6" t="s">
        <v>287</v>
      </c>
      <c r="H429" s="6" t="s">
        <v>83</v>
      </c>
      <c r="I429" s="6" t="s">
        <v>289</v>
      </c>
      <c r="J429" s="6" t="s">
        <v>113</v>
      </c>
    </row>
    <row r="430" ht="15.75" customHeight="1">
      <c r="A430" s="6" t="s">
        <v>882</v>
      </c>
      <c r="B430" s="6" t="s">
        <v>20</v>
      </c>
      <c r="C430" s="6" t="s">
        <v>1205</v>
      </c>
      <c r="D430" s="6" t="s">
        <v>57</v>
      </c>
      <c r="E430" s="6" t="s">
        <v>133</v>
      </c>
      <c r="F430" s="6" t="s">
        <v>215</v>
      </c>
      <c r="G430" s="6" t="s">
        <v>287</v>
      </c>
      <c r="H430" s="6" t="s">
        <v>83</v>
      </c>
      <c r="I430" s="6" t="s">
        <v>930</v>
      </c>
      <c r="J430" s="6" t="s">
        <v>113</v>
      </c>
    </row>
    <row r="431" ht="15.75" customHeight="1">
      <c r="A431" s="6" t="s">
        <v>1206</v>
      </c>
      <c r="B431" s="6" t="s">
        <v>20</v>
      </c>
      <c r="C431" s="6" t="s">
        <v>1207</v>
      </c>
      <c r="D431" s="6" t="s">
        <v>178</v>
      </c>
      <c r="E431" s="6" t="s">
        <v>26</v>
      </c>
      <c r="F431" s="6" t="s">
        <v>1208</v>
      </c>
      <c r="G431" s="6" t="s">
        <v>329</v>
      </c>
      <c r="H431" s="6" t="s">
        <v>83</v>
      </c>
      <c r="I431" s="6" t="s">
        <v>405</v>
      </c>
      <c r="J431" s="6" t="s">
        <v>113</v>
      </c>
    </row>
    <row r="432" ht="15.75" customHeight="1">
      <c r="A432" s="6" t="s">
        <v>1209</v>
      </c>
      <c r="B432" s="6" t="s">
        <v>20</v>
      </c>
      <c r="C432" s="6" t="s">
        <v>1210</v>
      </c>
      <c r="D432" s="6" t="s">
        <v>273</v>
      </c>
      <c r="E432" s="6" t="s">
        <v>26</v>
      </c>
      <c r="F432" s="6" t="s">
        <v>1211</v>
      </c>
      <c r="G432" s="6" t="s">
        <v>74</v>
      </c>
      <c r="H432" s="6" t="s">
        <v>128</v>
      </c>
      <c r="I432" s="6" t="s">
        <v>244</v>
      </c>
      <c r="J432" s="6" t="s">
        <v>33</v>
      </c>
    </row>
    <row r="433" ht="15.75" customHeight="1">
      <c r="A433" s="6" t="s">
        <v>400</v>
      </c>
      <c r="B433" s="6" t="s">
        <v>20</v>
      </c>
      <c r="C433" s="6" t="s">
        <v>1212</v>
      </c>
      <c r="D433" s="6" t="s">
        <v>45</v>
      </c>
      <c r="E433" s="6" t="s">
        <v>25</v>
      </c>
      <c r="F433" s="6" t="s">
        <v>247</v>
      </c>
      <c r="G433" s="6" t="s">
        <v>132</v>
      </c>
      <c r="H433" s="6" t="s">
        <v>128</v>
      </c>
      <c r="I433" s="6" t="s">
        <v>275</v>
      </c>
      <c r="J433" s="6" t="s">
        <v>33</v>
      </c>
    </row>
    <row r="434" ht="15.75" customHeight="1">
      <c r="A434" s="6" t="s">
        <v>1213</v>
      </c>
      <c r="B434" s="6" t="s">
        <v>20</v>
      </c>
      <c r="C434" s="6" t="s">
        <v>1214</v>
      </c>
      <c r="D434" s="6" t="s">
        <v>45</v>
      </c>
      <c r="E434" s="6" t="s">
        <v>25</v>
      </c>
      <c r="F434" s="6" t="s">
        <v>1215</v>
      </c>
      <c r="G434" s="6" t="s">
        <v>287</v>
      </c>
      <c r="H434" s="6" t="s">
        <v>128</v>
      </c>
      <c r="I434" s="6" t="s">
        <v>252</v>
      </c>
      <c r="J434" s="6" t="s">
        <v>33</v>
      </c>
    </row>
    <row r="435" ht="15.75" customHeight="1">
      <c r="A435" s="6" t="s">
        <v>1216</v>
      </c>
      <c r="B435" s="6" t="s">
        <v>20</v>
      </c>
      <c r="C435" s="6"/>
      <c r="D435" s="6" t="s">
        <v>38</v>
      </c>
      <c r="E435" s="6" t="s">
        <v>25</v>
      </c>
      <c r="F435" s="6" t="s">
        <v>1217</v>
      </c>
      <c r="G435" s="6" t="s">
        <v>325</v>
      </c>
      <c r="H435" s="6" t="s">
        <v>128</v>
      </c>
      <c r="I435" s="6" t="s">
        <v>279</v>
      </c>
      <c r="J435" s="6" t="s">
        <v>33</v>
      </c>
    </row>
    <row r="436" ht="15.75" customHeight="1">
      <c r="A436" s="6" t="s">
        <v>1218</v>
      </c>
      <c r="B436" s="6" t="s">
        <v>20</v>
      </c>
      <c r="C436" s="6" t="s">
        <v>1219</v>
      </c>
      <c r="D436" s="6" t="s">
        <v>24</v>
      </c>
      <c r="E436" s="6" t="s">
        <v>25</v>
      </c>
      <c r="F436" s="6" t="s">
        <v>888</v>
      </c>
      <c r="G436" s="6" t="s">
        <v>107</v>
      </c>
      <c r="H436" s="6" t="s">
        <v>128</v>
      </c>
      <c r="I436" s="6" t="s">
        <v>355</v>
      </c>
      <c r="J436" s="6" t="s">
        <v>33</v>
      </c>
    </row>
    <row r="437" ht="15.75" customHeight="1">
      <c r="A437" s="6" t="s">
        <v>1220</v>
      </c>
      <c r="B437" s="6" t="s">
        <v>20</v>
      </c>
      <c r="C437" s="6" t="s">
        <v>1221</v>
      </c>
      <c r="D437" s="6" t="s">
        <v>45</v>
      </c>
      <c r="E437" s="6" t="s">
        <v>25</v>
      </c>
      <c r="F437" s="6" t="s">
        <v>1222</v>
      </c>
      <c r="G437" s="6" t="s">
        <v>287</v>
      </c>
      <c r="H437" s="6" t="s">
        <v>128</v>
      </c>
      <c r="I437" s="6" t="s">
        <v>355</v>
      </c>
      <c r="J437" s="6" t="s">
        <v>33</v>
      </c>
    </row>
    <row r="438" ht="15.75" customHeight="1">
      <c r="A438" s="6" t="s">
        <v>1223</v>
      </c>
      <c r="B438" s="6" t="s">
        <v>20</v>
      </c>
      <c r="C438" s="6" t="s">
        <v>1224</v>
      </c>
      <c r="D438" s="6" t="s">
        <v>57</v>
      </c>
      <c r="E438" s="6" t="s">
        <v>25</v>
      </c>
      <c r="F438" s="6" t="s">
        <v>150</v>
      </c>
      <c r="G438" s="6" t="s">
        <v>1202</v>
      </c>
      <c r="H438" s="6" t="s">
        <v>128</v>
      </c>
      <c r="I438" s="6" t="s">
        <v>510</v>
      </c>
      <c r="J438" s="6" t="s">
        <v>33</v>
      </c>
    </row>
    <row r="439" ht="15.75" customHeight="1">
      <c r="A439" s="6" t="s">
        <v>607</v>
      </c>
      <c r="B439" s="6" t="s">
        <v>20</v>
      </c>
      <c r="C439" s="6" t="s">
        <v>1225</v>
      </c>
      <c r="D439" s="6" t="s">
        <v>24</v>
      </c>
      <c r="E439" s="6" t="s">
        <v>25</v>
      </c>
      <c r="F439" s="6" t="s">
        <v>1226</v>
      </c>
      <c r="G439" s="6" t="s">
        <v>132</v>
      </c>
      <c r="H439" s="6" t="s">
        <v>128</v>
      </c>
      <c r="I439" s="6" t="s">
        <v>306</v>
      </c>
      <c r="J439" s="6" t="s">
        <v>33</v>
      </c>
    </row>
    <row r="440" ht="15.75" customHeight="1">
      <c r="A440" s="6" t="s">
        <v>1227</v>
      </c>
      <c r="B440" s="6" t="s">
        <v>43</v>
      </c>
      <c r="C440" s="6" t="s">
        <v>1228</v>
      </c>
      <c r="D440" s="6" t="s">
        <v>45</v>
      </c>
      <c r="E440" s="6" t="s">
        <v>25</v>
      </c>
      <c r="F440" s="6" t="s">
        <v>636</v>
      </c>
      <c r="G440" s="6" t="s">
        <v>218</v>
      </c>
      <c r="H440" s="6" t="s">
        <v>128</v>
      </c>
      <c r="I440" s="6" t="s">
        <v>94</v>
      </c>
      <c r="J440" s="6" t="s">
        <v>33</v>
      </c>
    </row>
    <row r="441" ht="15.75" customHeight="1">
      <c r="A441" s="6" t="s">
        <v>1229</v>
      </c>
      <c r="B441" s="6" t="s">
        <v>43</v>
      </c>
      <c r="C441" s="6" t="s">
        <v>1230</v>
      </c>
      <c r="D441" s="6" t="s">
        <v>57</v>
      </c>
      <c r="E441" s="6" t="s">
        <v>25</v>
      </c>
      <c r="F441" s="6" t="s">
        <v>343</v>
      </c>
      <c r="G441" s="6" t="s">
        <v>98</v>
      </c>
      <c r="H441" s="6" t="s">
        <v>128</v>
      </c>
      <c r="I441" s="6" t="s">
        <v>174</v>
      </c>
      <c r="J441" s="6" t="s">
        <v>33</v>
      </c>
    </row>
    <row r="442" ht="15.75" customHeight="1">
      <c r="A442" s="6" t="s">
        <v>1231</v>
      </c>
      <c r="B442" s="6" t="s">
        <v>43</v>
      </c>
      <c r="C442" s="6" t="s">
        <v>1232</v>
      </c>
      <c r="D442" s="6" t="s">
        <v>24</v>
      </c>
      <c r="E442" s="6" t="s">
        <v>25</v>
      </c>
      <c r="F442" s="6" t="s">
        <v>1144</v>
      </c>
      <c r="G442" s="6" t="s">
        <v>81</v>
      </c>
      <c r="H442" s="6" t="s">
        <v>128</v>
      </c>
      <c r="I442" s="6" t="s">
        <v>464</v>
      </c>
      <c r="J442" s="6" t="s">
        <v>33</v>
      </c>
    </row>
    <row r="443" ht="15.75" customHeight="1">
      <c r="A443" s="6" t="s">
        <v>1233</v>
      </c>
      <c r="B443" s="6" t="s">
        <v>43</v>
      </c>
      <c r="C443" s="6" t="s">
        <v>1234</v>
      </c>
      <c r="D443" s="6" t="s">
        <v>45</v>
      </c>
      <c r="E443" s="6" t="s">
        <v>25</v>
      </c>
      <c r="F443" s="6" t="s">
        <v>1235</v>
      </c>
      <c r="G443" s="6" t="s">
        <v>81</v>
      </c>
      <c r="H443" s="6" t="s">
        <v>128</v>
      </c>
      <c r="I443" s="6" t="s">
        <v>112</v>
      </c>
      <c r="J443" s="6" t="s">
        <v>33</v>
      </c>
    </row>
    <row r="444" ht="15.75" customHeight="1">
      <c r="A444" s="6" t="s">
        <v>1236</v>
      </c>
      <c r="B444" s="6" t="s">
        <v>43</v>
      </c>
      <c r="C444" s="6" t="s">
        <v>1237</v>
      </c>
      <c r="D444" s="6" t="s">
        <v>57</v>
      </c>
      <c r="E444" s="6" t="s">
        <v>25</v>
      </c>
      <c r="F444" s="6" t="s">
        <v>1126</v>
      </c>
      <c r="G444" s="6" t="s">
        <v>81</v>
      </c>
      <c r="H444" s="6" t="s">
        <v>128</v>
      </c>
      <c r="I444" s="6" t="s">
        <v>254</v>
      </c>
      <c r="J444" s="6" t="s">
        <v>33</v>
      </c>
    </row>
    <row r="445" ht="15.75" customHeight="1">
      <c r="A445" s="6" t="s">
        <v>278</v>
      </c>
      <c r="B445" s="6" t="s">
        <v>43</v>
      </c>
      <c r="C445" s="6" t="s">
        <v>1238</v>
      </c>
      <c r="D445" s="6" t="s">
        <v>45</v>
      </c>
      <c r="E445" s="6" t="s">
        <v>25</v>
      </c>
      <c r="F445" s="6" t="s">
        <v>524</v>
      </c>
      <c r="G445" s="6" t="s">
        <v>287</v>
      </c>
      <c r="H445" s="6" t="s">
        <v>128</v>
      </c>
      <c r="I445" s="6" t="s">
        <v>377</v>
      </c>
      <c r="J445" s="6" t="s">
        <v>33</v>
      </c>
    </row>
    <row r="446" ht="15.75" customHeight="1">
      <c r="A446" s="6" t="s">
        <v>1239</v>
      </c>
      <c r="B446" s="6" t="s">
        <v>20</v>
      </c>
      <c r="C446" s="6" t="s">
        <v>1240</v>
      </c>
      <c r="D446" s="6" t="s">
        <v>24</v>
      </c>
      <c r="E446" s="6" t="s">
        <v>25</v>
      </c>
      <c r="F446" s="6" t="s">
        <v>293</v>
      </c>
      <c r="G446" s="6" t="s">
        <v>107</v>
      </c>
      <c r="H446" s="6" t="s">
        <v>128</v>
      </c>
      <c r="I446" s="6" t="s">
        <v>367</v>
      </c>
      <c r="J446" s="6" t="s">
        <v>113</v>
      </c>
    </row>
    <row r="447" ht="15.75" customHeight="1">
      <c r="A447" s="6" t="s">
        <v>1241</v>
      </c>
      <c r="B447" s="6" t="s">
        <v>20</v>
      </c>
      <c r="C447" s="6" t="s">
        <v>1242</v>
      </c>
      <c r="D447" s="6" t="s">
        <v>38</v>
      </c>
      <c r="E447" s="6" t="s">
        <v>26</v>
      </c>
      <c r="F447" s="6" t="s">
        <v>1243</v>
      </c>
      <c r="G447" s="6" t="s">
        <v>1244</v>
      </c>
      <c r="H447" s="6" t="s">
        <v>128</v>
      </c>
      <c r="I447" s="6" t="s">
        <v>480</v>
      </c>
      <c r="J447" s="6" t="s">
        <v>113</v>
      </c>
    </row>
    <row r="448" ht="15.75" customHeight="1">
      <c r="A448" s="6" t="s">
        <v>1245</v>
      </c>
      <c r="B448" s="6" t="s">
        <v>20</v>
      </c>
      <c r="C448" s="6" t="s">
        <v>1246</v>
      </c>
      <c r="D448" s="6" t="s">
        <v>24</v>
      </c>
      <c r="E448" s="6" t="s">
        <v>25</v>
      </c>
      <c r="F448" s="6" t="s">
        <v>1247</v>
      </c>
      <c r="G448" s="6" t="s">
        <v>1051</v>
      </c>
      <c r="H448" s="6" t="s">
        <v>128</v>
      </c>
      <c r="I448" s="6" t="s">
        <v>374</v>
      </c>
      <c r="J448" s="6" t="s">
        <v>113</v>
      </c>
    </row>
    <row r="449" ht="15.75" customHeight="1">
      <c r="A449" s="6" t="s">
        <v>1248</v>
      </c>
      <c r="B449" s="6" t="s">
        <v>43</v>
      </c>
      <c r="C449" s="6" t="s">
        <v>1249</v>
      </c>
      <c r="D449" s="6" t="s">
        <v>45</v>
      </c>
      <c r="E449" s="6" t="s">
        <v>25</v>
      </c>
      <c r="F449" s="6" t="s">
        <v>1250</v>
      </c>
      <c r="G449" s="6" t="s">
        <v>617</v>
      </c>
      <c r="H449" s="6" t="s">
        <v>128</v>
      </c>
      <c r="I449" s="6" t="s">
        <v>557</v>
      </c>
      <c r="J449" s="6" t="s">
        <v>113</v>
      </c>
    </row>
    <row r="450" ht="15.75" customHeight="1">
      <c r="A450" s="6" t="s">
        <v>1251</v>
      </c>
      <c r="B450" s="6" t="s">
        <v>20</v>
      </c>
      <c r="C450" s="6" t="s">
        <v>1252</v>
      </c>
      <c r="D450" s="6" t="s">
        <v>38</v>
      </c>
      <c r="E450" s="6" t="s">
        <v>26</v>
      </c>
      <c r="F450" s="6" t="s">
        <v>1186</v>
      </c>
      <c r="G450" s="6" t="s">
        <v>157</v>
      </c>
      <c r="H450" s="6" t="s">
        <v>309</v>
      </c>
      <c r="I450" s="6" t="s">
        <v>144</v>
      </c>
      <c r="J450" s="6" t="s">
        <v>33</v>
      </c>
    </row>
    <row r="451" ht="15.75" customHeight="1">
      <c r="A451" s="6" t="s">
        <v>1253</v>
      </c>
      <c r="B451" s="6" t="s">
        <v>20</v>
      </c>
      <c r="C451" s="6" t="s">
        <v>1254</v>
      </c>
      <c r="D451" s="6" t="s">
        <v>178</v>
      </c>
      <c r="E451" s="6" t="s">
        <v>26</v>
      </c>
      <c r="F451" s="6" t="s">
        <v>305</v>
      </c>
      <c r="G451" s="6" t="s">
        <v>329</v>
      </c>
      <c r="H451" s="6" t="s">
        <v>309</v>
      </c>
      <c r="I451" s="6" t="s">
        <v>484</v>
      </c>
      <c r="J451" s="6" t="s">
        <v>33</v>
      </c>
    </row>
    <row r="452" ht="15.75" customHeight="1">
      <c r="A452" s="6" t="s">
        <v>550</v>
      </c>
      <c r="B452" s="6" t="s">
        <v>20</v>
      </c>
      <c r="C452" s="6" t="s">
        <v>1255</v>
      </c>
      <c r="D452" s="6" t="s">
        <v>24</v>
      </c>
      <c r="E452" s="6" t="s">
        <v>25</v>
      </c>
      <c r="F452" s="6" t="s">
        <v>398</v>
      </c>
      <c r="G452" s="6" t="s">
        <v>117</v>
      </c>
      <c r="H452" s="6" t="s">
        <v>309</v>
      </c>
      <c r="I452" s="6" t="s">
        <v>148</v>
      </c>
      <c r="J452" s="6" t="s">
        <v>33</v>
      </c>
    </row>
    <row r="453" ht="15.75" customHeight="1">
      <c r="A453" s="6" t="s">
        <v>1256</v>
      </c>
      <c r="B453" s="6" t="s">
        <v>20</v>
      </c>
      <c r="C453" s="6" t="s">
        <v>1257</v>
      </c>
      <c r="D453" s="6" t="s">
        <v>45</v>
      </c>
      <c r="E453" s="6" t="s">
        <v>25</v>
      </c>
      <c r="F453" s="6" t="s">
        <v>1065</v>
      </c>
      <c r="G453" s="6" t="s">
        <v>334</v>
      </c>
      <c r="H453" s="6" t="s">
        <v>309</v>
      </c>
      <c r="I453" s="6" t="s">
        <v>699</v>
      </c>
      <c r="J453" s="6" t="s">
        <v>33</v>
      </c>
    </row>
    <row r="454" ht="15.75" customHeight="1">
      <c r="A454" s="6" t="s">
        <v>1258</v>
      </c>
      <c r="B454" s="6" t="s">
        <v>20</v>
      </c>
      <c r="C454" s="6" t="s">
        <v>1259</v>
      </c>
      <c r="D454" s="6" t="s">
        <v>24</v>
      </c>
      <c r="E454" s="6" t="s">
        <v>25</v>
      </c>
      <c r="F454" s="6" t="s">
        <v>524</v>
      </c>
      <c r="G454" s="6" t="s">
        <v>287</v>
      </c>
      <c r="H454" s="6" t="s">
        <v>309</v>
      </c>
      <c r="I454" s="6" t="s">
        <v>1007</v>
      </c>
      <c r="J454" s="6" t="s">
        <v>33</v>
      </c>
    </row>
    <row r="455" ht="15.75" customHeight="1">
      <c r="A455" s="6" t="s">
        <v>1260</v>
      </c>
      <c r="B455" s="6" t="s">
        <v>20</v>
      </c>
      <c r="C455" s="6" t="s">
        <v>1261</v>
      </c>
      <c r="D455" s="6" t="s">
        <v>178</v>
      </c>
      <c r="E455" s="6" t="s">
        <v>26</v>
      </c>
      <c r="F455" s="6" t="s">
        <v>1262</v>
      </c>
      <c r="G455" s="6" t="s">
        <v>1263</v>
      </c>
      <c r="H455" s="6" t="s">
        <v>309</v>
      </c>
      <c r="I455" s="6" t="s">
        <v>139</v>
      </c>
      <c r="J455" s="6" t="s">
        <v>33</v>
      </c>
    </row>
    <row r="456" ht="15.75" customHeight="1">
      <c r="A456" s="6" t="s">
        <v>1264</v>
      </c>
      <c r="B456" s="6" t="s">
        <v>20</v>
      </c>
      <c r="C456" s="6" t="s">
        <v>1265</v>
      </c>
      <c r="D456" s="6" t="s">
        <v>38</v>
      </c>
      <c r="E456" s="6" t="s">
        <v>26</v>
      </c>
      <c r="F456" s="6" t="s">
        <v>1266</v>
      </c>
      <c r="G456" s="6" t="s">
        <v>340</v>
      </c>
      <c r="H456" s="6" t="s">
        <v>309</v>
      </c>
      <c r="I456" s="6" t="s">
        <v>144</v>
      </c>
      <c r="J456" s="6" t="s">
        <v>33</v>
      </c>
    </row>
    <row r="457" ht="15.75" customHeight="1">
      <c r="A457" s="6" t="s">
        <v>1267</v>
      </c>
      <c r="B457" s="6" t="s">
        <v>20</v>
      </c>
      <c r="C457" s="6" t="s">
        <v>1268</v>
      </c>
      <c r="D457" s="6" t="s">
        <v>178</v>
      </c>
      <c r="E457" s="6" t="s">
        <v>26</v>
      </c>
      <c r="F457" s="6" t="s">
        <v>761</v>
      </c>
      <c r="G457" s="6" t="s">
        <v>1269</v>
      </c>
      <c r="H457" s="6" t="s">
        <v>309</v>
      </c>
      <c r="I457" s="6" t="s">
        <v>193</v>
      </c>
      <c r="J457" s="6" t="s">
        <v>33</v>
      </c>
    </row>
    <row r="458" ht="15.75" customHeight="1">
      <c r="A458" s="6" t="s">
        <v>1270</v>
      </c>
      <c r="B458" s="6" t="s">
        <v>20</v>
      </c>
      <c r="C458" s="6" t="s">
        <v>1271</v>
      </c>
      <c r="D458" s="6" t="s">
        <v>24</v>
      </c>
      <c r="E458" s="6" t="s">
        <v>25</v>
      </c>
      <c r="F458" s="6" t="s">
        <v>376</v>
      </c>
      <c r="G458" s="6" t="s">
        <v>117</v>
      </c>
      <c r="H458" s="6" t="s">
        <v>309</v>
      </c>
      <c r="I458" s="6" t="s">
        <v>100</v>
      </c>
      <c r="J458" s="6" t="s">
        <v>33</v>
      </c>
    </row>
    <row r="459" ht="15.75" customHeight="1">
      <c r="A459" s="6" t="s">
        <v>1272</v>
      </c>
      <c r="B459" s="6" t="s">
        <v>20</v>
      </c>
      <c r="C459" s="6" t="s">
        <v>1273</v>
      </c>
      <c r="D459" s="6" t="s">
        <v>178</v>
      </c>
      <c r="E459" s="6" t="s">
        <v>26</v>
      </c>
      <c r="F459" s="6" t="s">
        <v>814</v>
      </c>
      <c r="G459" s="6" t="s">
        <v>383</v>
      </c>
      <c r="H459" s="6" t="s">
        <v>309</v>
      </c>
      <c r="I459" s="6" t="s">
        <v>112</v>
      </c>
      <c r="J459" s="6" t="s">
        <v>33</v>
      </c>
    </row>
    <row r="460" ht="15.75" customHeight="1">
      <c r="A460" s="6" t="s">
        <v>1274</v>
      </c>
      <c r="B460" s="6" t="s">
        <v>43</v>
      </c>
      <c r="C460" s="6" t="s">
        <v>1275</v>
      </c>
      <c r="D460" s="6" t="s">
        <v>45</v>
      </c>
      <c r="E460" s="6" t="s">
        <v>25</v>
      </c>
      <c r="F460" s="6" t="s">
        <v>157</v>
      </c>
      <c r="G460" s="6" t="s">
        <v>218</v>
      </c>
      <c r="H460" s="6" t="s">
        <v>309</v>
      </c>
      <c r="I460" s="6" t="s">
        <v>94</v>
      </c>
      <c r="J460" s="6" t="s">
        <v>33</v>
      </c>
    </row>
    <row r="461" ht="15.75" customHeight="1">
      <c r="A461" s="6" t="s">
        <v>808</v>
      </c>
      <c r="B461" s="6" t="s">
        <v>43</v>
      </c>
      <c r="C461" s="6" t="s">
        <v>1276</v>
      </c>
      <c r="D461" s="6" t="s">
        <v>45</v>
      </c>
      <c r="E461" s="6" t="s">
        <v>25</v>
      </c>
      <c r="F461" s="6" t="s">
        <v>300</v>
      </c>
      <c r="G461" s="6" t="s">
        <v>98</v>
      </c>
      <c r="H461" s="6" t="s">
        <v>309</v>
      </c>
      <c r="I461" s="6" t="s">
        <v>134</v>
      </c>
      <c r="J461" s="6" t="s">
        <v>33</v>
      </c>
    </row>
    <row r="462" ht="15.75" customHeight="1">
      <c r="A462" s="6" t="s">
        <v>1277</v>
      </c>
      <c r="B462" s="6" t="s">
        <v>43</v>
      </c>
      <c r="C462" s="6" t="s">
        <v>1278</v>
      </c>
      <c r="D462" s="6" t="s">
        <v>57</v>
      </c>
      <c r="E462" s="6" t="s">
        <v>25</v>
      </c>
      <c r="F462" s="6" t="s">
        <v>1126</v>
      </c>
      <c r="G462" s="6" t="s">
        <v>81</v>
      </c>
      <c r="H462" s="6" t="s">
        <v>309</v>
      </c>
      <c r="I462" s="6" t="s">
        <v>473</v>
      </c>
      <c r="J462" s="6" t="s">
        <v>33</v>
      </c>
    </row>
    <row r="463" ht="15.75" customHeight="1">
      <c r="A463" s="6" t="s">
        <v>1279</v>
      </c>
      <c r="B463" s="6" t="s">
        <v>43</v>
      </c>
      <c r="C463" s="6" t="s">
        <v>1280</v>
      </c>
      <c r="D463" s="6" t="s">
        <v>38</v>
      </c>
      <c r="E463" s="6" t="s">
        <v>26</v>
      </c>
      <c r="F463" s="6" t="s">
        <v>1281</v>
      </c>
      <c r="G463" s="6" t="s">
        <v>340</v>
      </c>
      <c r="H463" s="6" t="s">
        <v>309</v>
      </c>
      <c r="I463" s="6" t="s">
        <v>353</v>
      </c>
      <c r="J463" s="6" t="s">
        <v>33</v>
      </c>
    </row>
    <row r="464" ht="15.75" customHeight="1">
      <c r="A464" s="6" t="s">
        <v>1282</v>
      </c>
      <c r="B464" s="6" t="s">
        <v>43</v>
      </c>
      <c r="C464" s="6" t="s">
        <v>1283</v>
      </c>
      <c r="D464" s="6" t="s">
        <v>24</v>
      </c>
      <c r="E464" s="6" t="s">
        <v>25</v>
      </c>
      <c r="F464" s="6" t="s">
        <v>1150</v>
      </c>
      <c r="G464" s="6" t="s">
        <v>117</v>
      </c>
      <c r="H464" s="6" t="s">
        <v>309</v>
      </c>
      <c r="I464" s="6" t="s">
        <v>774</v>
      </c>
      <c r="J464" s="6" t="s">
        <v>33</v>
      </c>
    </row>
    <row r="465" ht="15.75" customHeight="1">
      <c r="A465" s="6" t="s">
        <v>1284</v>
      </c>
      <c r="B465" s="6" t="s">
        <v>20</v>
      </c>
      <c r="C465" s="6" t="s">
        <v>1285</v>
      </c>
      <c r="D465" s="6" t="s">
        <v>178</v>
      </c>
      <c r="E465" s="6" t="s">
        <v>26</v>
      </c>
      <c r="F465" s="6" t="s">
        <v>1286</v>
      </c>
      <c r="G465" s="6" t="s">
        <v>880</v>
      </c>
      <c r="H465" s="6" t="s">
        <v>306</v>
      </c>
      <c r="I465" s="6" t="s">
        <v>176</v>
      </c>
      <c r="J465" s="6" t="s">
        <v>33</v>
      </c>
    </row>
    <row r="466" ht="15.75" customHeight="1">
      <c r="A466" s="6" t="s">
        <v>1287</v>
      </c>
      <c r="B466" s="6" t="s">
        <v>20</v>
      </c>
      <c r="C466" s="6" t="s">
        <v>1288</v>
      </c>
      <c r="D466" s="6" t="s">
        <v>45</v>
      </c>
      <c r="E466" s="6" t="s">
        <v>25</v>
      </c>
      <c r="F466" s="6" t="s">
        <v>286</v>
      </c>
      <c r="G466" s="6" t="s">
        <v>107</v>
      </c>
      <c r="H466" s="6" t="s">
        <v>306</v>
      </c>
      <c r="I466" s="6" t="s">
        <v>425</v>
      </c>
      <c r="J466" s="6" t="s">
        <v>33</v>
      </c>
    </row>
    <row r="467" ht="15.75" customHeight="1">
      <c r="A467" s="6" t="s">
        <v>1289</v>
      </c>
      <c r="B467" s="6" t="s">
        <v>43</v>
      </c>
      <c r="C467" s="6" t="s">
        <v>1290</v>
      </c>
      <c r="D467" s="6" t="s">
        <v>45</v>
      </c>
      <c r="E467" s="6" t="s">
        <v>25</v>
      </c>
      <c r="F467" s="6" t="s">
        <v>824</v>
      </c>
      <c r="G467" s="6" t="s">
        <v>81</v>
      </c>
      <c r="H467" s="6" t="s">
        <v>306</v>
      </c>
      <c r="I467" s="6" t="s">
        <v>667</v>
      </c>
      <c r="J467" s="6" t="s">
        <v>33</v>
      </c>
    </row>
    <row r="468" ht="15.75" customHeight="1">
      <c r="A468" s="6" t="s">
        <v>1291</v>
      </c>
      <c r="B468" s="6" t="s">
        <v>43</v>
      </c>
      <c r="C468" s="6" t="s">
        <v>1292</v>
      </c>
      <c r="D468" s="6" t="s">
        <v>38</v>
      </c>
      <c r="E468" s="6" t="s">
        <v>25</v>
      </c>
      <c r="F468" s="6" t="s">
        <v>1293</v>
      </c>
      <c r="G468" s="6" t="s">
        <v>340</v>
      </c>
      <c r="H468" s="6" t="s">
        <v>306</v>
      </c>
      <c r="I468" s="6" t="s">
        <v>148</v>
      </c>
      <c r="J468" s="6" t="s">
        <v>33</v>
      </c>
    </row>
    <row r="469" ht="15.75" customHeight="1">
      <c r="A469" s="6" t="s">
        <v>1294</v>
      </c>
      <c r="B469" s="6" t="s">
        <v>43</v>
      </c>
      <c r="C469" s="6" t="s">
        <v>1295</v>
      </c>
      <c r="D469" s="6" t="s">
        <v>38</v>
      </c>
      <c r="E469" s="6" t="s">
        <v>26</v>
      </c>
      <c r="F469" s="6" t="s">
        <v>1296</v>
      </c>
      <c r="G469" s="6" t="s">
        <v>646</v>
      </c>
      <c r="H469" s="6" t="s">
        <v>306</v>
      </c>
      <c r="I469" s="6" t="s">
        <v>41</v>
      </c>
      <c r="J469" s="6" t="s">
        <v>33</v>
      </c>
    </row>
    <row r="470" ht="15.75" customHeight="1">
      <c r="A470" s="6" t="s">
        <v>1297</v>
      </c>
      <c r="B470" s="6" t="s">
        <v>43</v>
      </c>
      <c r="C470" s="6" t="s">
        <v>1298</v>
      </c>
      <c r="D470" s="6" t="s">
        <v>24</v>
      </c>
      <c r="E470" s="6" t="s">
        <v>25</v>
      </c>
      <c r="F470" s="6" t="s">
        <v>431</v>
      </c>
      <c r="G470" s="6" t="s">
        <v>522</v>
      </c>
      <c r="H470" s="6" t="s">
        <v>306</v>
      </c>
      <c r="I470" s="6" t="s">
        <v>283</v>
      </c>
      <c r="J470" s="6" t="s">
        <v>33</v>
      </c>
    </row>
    <row r="471" ht="15.75" customHeight="1">
      <c r="A471" s="6" t="s">
        <v>1299</v>
      </c>
      <c r="B471" s="6" t="s">
        <v>20</v>
      </c>
      <c r="C471" s="6" t="s">
        <v>1300</v>
      </c>
      <c r="D471" s="6" t="s">
        <v>45</v>
      </c>
      <c r="E471" s="6" t="s">
        <v>25</v>
      </c>
      <c r="F471" s="6" t="s">
        <v>150</v>
      </c>
      <c r="G471" s="6" t="s">
        <v>287</v>
      </c>
      <c r="H471" s="6" t="s">
        <v>306</v>
      </c>
      <c r="I471" s="6" t="s">
        <v>319</v>
      </c>
      <c r="J471" s="6" t="s">
        <v>113</v>
      </c>
    </row>
    <row r="472" ht="15.75" customHeight="1">
      <c r="A472" s="6" t="s">
        <v>1301</v>
      </c>
      <c r="B472" s="6" t="s">
        <v>20</v>
      </c>
      <c r="C472" s="6" t="s">
        <v>1302</v>
      </c>
      <c r="D472" s="6" t="s">
        <v>24</v>
      </c>
      <c r="E472" s="6" t="s">
        <v>25</v>
      </c>
      <c r="F472" s="6" t="s">
        <v>291</v>
      </c>
      <c r="G472" s="6" t="s">
        <v>287</v>
      </c>
      <c r="H472" s="6" t="s">
        <v>306</v>
      </c>
      <c r="I472" s="6" t="s">
        <v>198</v>
      </c>
      <c r="J472" s="6" t="s">
        <v>113</v>
      </c>
    </row>
    <row r="473" ht="15.75" customHeight="1">
      <c r="A473" s="6" t="s">
        <v>1303</v>
      </c>
      <c r="B473" s="6" t="s">
        <v>20</v>
      </c>
      <c r="C473" s="6" t="s">
        <v>1304</v>
      </c>
      <c r="D473" s="6" t="s">
        <v>24</v>
      </c>
      <c r="E473" s="6" t="s">
        <v>25</v>
      </c>
      <c r="F473" s="6" t="s">
        <v>1305</v>
      </c>
      <c r="G473" s="6" t="s">
        <v>287</v>
      </c>
      <c r="H473" s="6" t="s">
        <v>303</v>
      </c>
      <c r="I473" s="6" t="s">
        <v>229</v>
      </c>
      <c r="J473" s="6" t="s">
        <v>33</v>
      </c>
    </row>
    <row r="474" ht="15.75" customHeight="1">
      <c r="A474" s="6" t="s">
        <v>1306</v>
      </c>
      <c r="B474" s="6" t="s">
        <v>43</v>
      </c>
      <c r="C474" s="6" t="s">
        <v>1307</v>
      </c>
      <c r="D474" s="6" t="s">
        <v>45</v>
      </c>
      <c r="E474" s="6" t="s">
        <v>25</v>
      </c>
      <c r="F474" s="6" t="s">
        <v>46</v>
      </c>
      <c r="G474" s="6" t="s">
        <v>98</v>
      </c>
      <c r="H474" s="6" t="s">
        <v>303</v>
      </c>
      <c r="I474" s="6" t="s">
        <v>513</v>
      </c>
      <c r="J474" s="6" t="s">
        <v>33</v>
      </c>
    </row>
    <row r="475" ht="15.75" customHeight="1">
      <c r="A475" s="6" t="s">
        <v>1308</v>
      </c>
      <c r="B475" s="6" t="s">
        <v>43</v>
      </c>
      <c r="C475" s="6" t="s">
        <v>1309</v>
      </c>
      <c r="D475" s="6" t="s">
        <v>45</v>
      </c>
      <c r="E475" s="6" t="s">
        <v>25</v>
      </c>
      <c r="F475" s="6" t="s">
        <v>582</v>
      </c>
      <c r="G475" s="6" t="s">
        <v>117</v>
      </c>
      <c r="H475" s="6" t="s">
        <v>303</v>
      </c>
      <c r="I475" s="6" t="s">
        <v>95</v>
      </c>
      <c r="J475" s="6" t="s">
        <v>33</v>
      </c>
    </row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0"/>
    <col customWidth="1" min="2" max="2" width="121.0"/>
    <col customWidth="1" min="3" max="26" width="8.71"/>
  </cols>
  <sheetData>
    <row r="1">
      <c r="A1" s="1" t="s">
        <v>10</v>
      </c>
    </row>
    <row r="3">
      <c r="A3" s="5" t="s">
        <v>18</v>
      </c>
      <c r="B3" s="5" t="s">
        <v>23</v>
      </c>
    </row>
    <row r="4">
      <c r="A4" s="8" t="s">
        <v>29</v>
      </c>
      <c r="B4" s="8" t="s">
        <v>47</v>
      </c>
    </row>
    <row r="5">
      <c r="A5" s="8" t="s">
        <v>49</v>
      </c>
      <c r="B5" s="8" t="s">
        <v>51</v>
      </c>
    </row>
    <row r="6">
      <c r="A6" s="8" t="s">
        <v>52</v>
      </c>
      <c r="B6" s="8" t="s">
        <v>55</v>
      </c>
    </row>
    <row r="7">
      <c r="A7" s="8" t="s">
        <v>59</v>
      </c>
      <c r="B7" s="8" t="s">
        <v>61</v>
      </c>
    </row>
    <row r="8">
      <c r="A8" s="8" t="s">
        <v>64</v>
      </c>
      <c r="B8" s="8" t="s">
        <v>67</v>
      </c>
    </row>
    <row r="9">
      <c r="A9" s="8" t="s">
        <v>69</v>
      </c>
      <c r="B9" s="8" t="s">
        <v>71</v>
      </c>
    </row>
    <row r="10">
      <c r="A10" s="8" t="s">
        <v>73</v>
      </c>
      <c r="B10" s="10" t="s">
        <v>77</v>
      </c>
    </row>
    <row r="11">
      <c r="A11" s="8" t="s">
        <v>82</v>
      </c>
      <c r="B11" s="8" t="s">
        <v>84</v>
      </c>
    </row>
    <row r="12">
      <c r="A12" s="8" t="s">
        <v>85</v>
      </c>
      <c r="B12" s="8" t="s">
        <v>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3.86"/>
    <col customWidth="1" min="3" max="3" width="16.71"/>
    <col customWidth="1" min="4" max="4" width="16.57"/>
    <col customWidth="1" min="5" max="5" width="20.29"/>
    <col customWidth="1" min="6" max="6" width="20.43"/>
    <col customWidth="1" min="7" max="7" width="21.57"/>
    <col customWidth="1" min="8" max="8" width="18.14"/>
    <col customWidth="1" min="9" max="9" width="30.29"/>
    <col customWidth="1" min="10" max="10" width="31.86"/>
    <col customWidth="1" min="11" max="26" width="8.71"/>
  </cols>
  <sheetData>
    <row r="1" ht="31.5" customHeight="1">
      <c r="A1" s="5" t="s">
        <v>21</v>
      </c>
      <c r="B1" s="5" t="s">
        <v>28</v>
      </c>
      <c r="C1" s="5" t="s">
        <v>34</v>
      </c>
      <c r="D1" s="5" t="s">
        <v>37</v>
      </c>
      <c r="E1" s="5" t="s">
        <v>4</v>
      </c>
      <c r="F1" s="5" t="s">
        <v>53</v>
      </c>
      <c r="G1" s="5" t="s">
        <v>58</v>
      </c>
      <c r="H1" s="5" t="s">
        <v>62</v>
      </c>
      <c r="I1" s="5" t="s">
        <v>66</v>
      </c>
      <c r="J1" s="5" t="s">
        <v>68</v>
      </c>
    </row>
    <row r="2">
      <c r="A2" s="9">
        <v>1.0</v>
      </c>
      <c r="B2" s="6" t="s">
        <v>20</v>
      </c>
      <c r="C2" s="11">
        <v>19027.0</v>
      </c>
      <c r="D2" s="9">
        <v>15.0</v>
      </c>
      <c r="E2" s="6" t="s">
        <v>26</v>
      </c>
      <c r="F2" s="13">
        <v>57000.0</v>
      </c>
      <c r="G2" s="13">
        <v>27000.0</v>
      </c>
      <c r="H2" s="9">
        <v>98.0</v>
      </c>
      <c r="I2" s="9">
        <v>144.0</v>
      </c>
      <c r="J2" s="6" t="s">
        <v>33</v>
      </c>
    </row>
    <row r="3">
      <c r="A3" s="9">
        <v>2.0</v>
      </c>
      <c r="B3" s="6" t="s">
        <v>20</v>
      </c>
      <c r="C3" s="11">
        <v>21328.0</v>
      </c>
      <c r="D3" s="9">
        <v>16.0</v>
      </c>
      <c r="E3" s="6" t="s">
        <v>25</v>
      </c>
      <c r="F3" s="13">
        <v>40200.0</v>
      </c>
      <c r="G3" s="13">
        <v>18750.0</v>
      </c>
      <c r="H3" s="9">
        <v>98.0</v>
      </c>
      <c r="I3" s="9">
        <v>36.0</v>
      </c>
      <c r="J3" s="6" t="s">
        <v>33</v>
      </c>
    </row>
    <row r="4">
      <c r="A4" s="9">
        <v>3.0</v>
      </c>
      <c r="B4" s="6" t="s">
        <v>43</v>
      </c>
      <c r="C4" s="11">
        <v>10800.0</v>
      </c>
      <c r="D4" s="9">
        <v>12.0</v>
      </c>
      <c r="E4" s="6" t="s">
        <v>25</v>
      </c>
      <c r="F4" s="13">
        <v>21450.0</v>
      </c>
      <c r="G4" s="13">
        <v>12000.0</v>
      </c>
      <c r="H4" s="9">
        <v>98.0</v>
      </c>
      <c r="I4" s="9">
        <v>381.0</v>
      </c>
      <c r="J4" s="6" t="s">
        <v>33</v>
      </c>
    </row>
    <row r="5">
      <c r="A5" s="9">
        <v>4.0</v>
      </c>
      <c r="B5" s="6" t="s">
        <v>43</v>
      </c>
      <c r="C5" s="11">
        <v>17272.0</v>
      </c>
      <c r="D5" s="9">
        <v>8.0</v>
      </c>
      <c r="E5" s="6" t="s">
        <v>25</v>
      </c>
      <c r="F5" s="13">
        <v>21900.0</v>
      </c>
      <c r="G5" s="13">
        <v>13200.0</v>
      </c>
      <c r="H5" s="9">
        <v>98.0</v>
      </c>
      <c r="I5" s="9">
        <v>190.0</v>
      </c>
      <c r="J5" s="6" t="s">
        <v>33</v>
      </c>
    </row>
    <row r="6">
      <c r="A6" s="9">
        <v>5.0</v>
      </c>
      <c r="B6" s="6" t="s">
        <v>20</v>
      </c>
      <c r="C6" s="11">
        <v>20129.0</v>
      </c>
      <c r="D6" s="9">
        <v>15.0</v>
      </c>
      <c r="E6" s="6" t="s">
        <v>25</v>
      </c>
      <c r="F6" s="13">
        <v>45000.0</v>
      </c>
      <c r="G6" s="13">
        <v>21000.0</v>
      </c>
      <c r="H6" s="9">
        <v>98.0</v>
      </c>
      <c r="I6" s="9">
        <v>138.0</v>
      </c>
      <c r="J6" s="6" t="s">
        <v>33</v>
      </c>
    </row>
    <row r="7">
      <c r="A7" s="9">
        <v>6.0</v>
      </c>
      <c r="B7" s="6" t="s">
        <v>20</v>
      </c>
      <c r="C7" s="11">
        <v>21419.0</v>
      </c>
      <c r="D7" s="9">
        <v>15.0</v>
      </c>
      <c r="E7" s="6" t="s">
        <v>25</v>
      </c>
      <c r="F7" s="13">
        <v>32100.0</v>
      </c>
      <c r="G7" s="13">
        <v>13500.0</v>
      </c>
      <c r="H7" s="9">
        <v>98.0</v>
      </c>
      <c r="I7" s="9">
        <v>67.0</v>
      </c>
      <c r="J7" s="6" t="s">
        <v>33</v>
      </c>
    </row>
    <row r="8">
      <c r="A8" s="9">
        <v>7.0</v>
      </c>
      <c r="B8" s="6" t="s">
        <v>20</v>
      </c>
      <c r="C8" s="11">
        <v>20571.0</v>
      </c>
      <c r="D8" s="9">
        <v>15.0</v>
      </c>
      <c r="E8" s="6" t="s">
        <v>25</v>
      </c>
      <c r="F8" s="13">
        <v>36000.0</v>
      </c>
      <c r="G8" s="13">
        <v>18750.0</v>
      </c>
      <c r="H8" s="9">
        <v>98.0</v>
      </c>
      <c r="I8" s="9">
        <v>114.0</v>
      </c>
      <c r="J8" s="6" t="s">
        <v>33</v>
      </c>
    </row>
    <row r="9">
      <c r="A9" s="9">
        <v>8.0</v>
      </c>
      <c r="B9" s="6" t="s">
        <v>43</v>
      </c>
      <c r="C9" s="11">
        <v>24233.0</v>
      </c>
      <c r="D9" s="9">
        <v>12.0</v>
      </c>
      <c r="E9" s="6" t="s">
        <v>25</v>
      </c>
      <c r="F9" s="13">
        <v>21900.0</v>
      </c>
      <c r="G9" s="13">
        <v>9750.0</v>
      </c>
      <c r="H9" s="9">
        <v>98.0</v>
      </c>
      <c r="I9" s="9"/>
      <c r="J9" s="6" t="s">
        <v>33</v>
      </c>
    </row>
    <row r="10">
      <c r="A10" s="9">
        <v>9.0</v>
      </c>
      <c r="B10" s="6" t="s">
        <v>43</v>
      </c>
      <c r="C10" s="11">
        <v>16825.0</v>
      </c>
      <c r="D10" s="9">
        <v>15.0</v>
      </c>
      <c r="E10" s="6" t="s">
        <v>25</v>
      </c>
      <c r="F10" s="13">
        <v>27900.0</v>
      </c>
      <c r="G10" s="13">
        <v>12750.0</v>
      </c>
      <c r="H10" s="9">
        <v>98.0</v>
      </c>
      <c r="I10" s="9">
        <v>115.0</v>
      </c>
      <c r="J10" s="6" t="s">
        <v>33</v>
      </c>
    </row>
    <row r="11">
      <c r="A11" s="9">
        <v>10.0</v>
      </c>
      <c r="B11" s="6" t="s">
        <v>43</v>
      </c>
      <c r="C11" s="11">
        <v>16846.0</v>
      </c>
      <c r="D11" s="9">
        <v>12.0</v>
      </c>
      <c r="E11" s="6" t="s">
        <v>25</v>
      </c>
      <c r="F11" s="13">
        <v>24000.0</v>
      </c>
      <c r="G11" s="13">
        <v>13500.0</v>
      </c>
      <c r="H11" s="9">
        <v>98.0</v>
      </c>
      <c r="I11" s="9">
        <v>244.0</v>
      </c>
      <c r="J11" s="6" t="s">
        <v>33</v>
      </c>
    </row>
    <row r="12">
      <c r="A12" s="9">
        <v>11.0</v>
      </c>
      <c r="B12" s="6" t="s">
        <v>43</v>
      </c>
      <c r="C12" s="11">
        <v>18301.0</v>
      </c>
      <c r="D12" s="9">
        <v>16.0</v>
      </c>
      <c r="E12" s="6" t="s">
        <v>25</v>
      </c>
      <c r="F12" s="13">
        <v>30300.0</v>
      </c>
      <c r="G12" s="13">
        <v>16500.0</v>
      </c>
      <c r="H12" s="9">
        <v>98.0</v>
      </c>
      <c r="I12" s="9">
        <v>143.0</v>
      </c>
      <c r="J12" s="6" t="s">
        <v>33</v>
      </c>
    </row>
    <row r="13">
      <c r="A13" s="9">
        <v>12.0</v>
      </c>
      <c r="B13" s="6" t="s">
        <v>20</v>
      </c>
      <c r="C13" s="11">
        <v>24118.0</v>
      </c>
      <c r="D13" s="9">
        <v>8.0</v>
      </c>
      <c r="E13" s="6" t="s">
        <v>25</v>
      </c>
      <c r="F13" s="13">
        <v>28350.0</v>
      </c>
      <c r="G13" s="13">
        <v>12000.0</v>
      </c>
      <c r="H13" s="9">
        <v>98.0</v>
      </c>
      <c r="I13" s="9">
        <v>26.0</v>
      </c>
      <c r="J13" s="6" t="s">
        <v>113</v>
      </c>
    </row>
    <row r="14">
      <c r="A14" s="9">
        <v>13.0</v>
      </c>
      <c r="B14" s="6" t="s">
        <v>20</v>
      </c>
      <c r="C14" s="11">
        <v>22114.0</v>
      </c>
      <c r="D14" s="9">
        <v>15.0</v>
      </c>
      <c r="E14" s="6" t="s">
        <v>25</v>
      </c>
      <c r="F14" s="13">
        <v>27750.0</v>
      </c>
      <c r="G14" s="13">
        <v>14250.0</v>
      </c>
      <c r="H14" s="9">
        <v>98.0</v>
      </c>
      <c r="I14" s="9">
        <v>34.0</v>
      </c>
      <c r="J14" s="6" t="s">
        <v>113</v>
      </c>
    </row>
    <row r="15">
      <c r="A15" s="9">
        <v>14.0</v>
      </c>
      <c r="B15" s="6" t="s">
        <v>43</v>
      </c>
      <c r="C15" s="11">
        <v>17955.0</v>
      </c>
      <c r="D15" s="9">
        <v>15.0</v>
      </c>
      <c r="E15" s="6" t="s">
        <v>25</v>
      </c>
      <c r="F15" s="13">
        <v>35100.0</v>
      </c>
      <c r="G15" s="13">
        <v>16800.0</v>
      </c>
      <c r="H15" s="9">
        <v>98.0</v>
      </c>
      <c r="I15" s="9">
        <v>137.0</v>
      </c>
      <c r="J15" s="6" t="s">
        <v>113</v>
      </c>
    </row>
    <row r="16">
      <c r="A16" s="9">
        <v>15.0</v>
      </c>
      <c r="B16" s="6" t="s">
        <v>20</v>
      </c>
      <c r="C16" s="11">
        <v>22887.0</v>
      </c>
      <c r="D16" s="9">
        <v>12.0</v>
      </c>
      <c r="E16" s="6" t="s">
        <v>25</v>
      </c>
      <c r="F16" s="13">
        <v>27300.0</v>
      </c>
      <c r="G16" s="13">
        <v>13500.0</v>
      </c>
      <c r="H16" s="9">
        <v>97.0</v>
      </c>
      <c r="I16" s="9">
        <v>66.0</v>
      </c>
      <c r="J16" s="6" t="s">
        <v>33</v>
      </c>
    </row>
    <row r="17">
      <c r="A17" s="9">
        <v>16.0</v>
      </c>
      <c r="B17" s="6" t="s">
        <v>20</v>
      </c>
      <c r="C17" s="11">
        <v>23698.0</v>
      </c>
      <c r="D17" s="9">
        <v>12.0</v>
      </c>
      <c r="E17" s="6" t="s">
        <v>25</v>
      </c>
      <c r="F17" s="13">
        <v>40800.0</v>
      </c>
      <c r="G17" s="13">
        <v>15000.0</v>
      </c>
      <c r="H17" s="9">
        <v>97.0</v>
      </c>
      <c r="I17" s="9">
        <v>24.0</v>
      </c>
      <c r="J17" s="6" t="s">
        <v>33</v>
      </c>
    </row>
    <row r="18">
      <c r="A18" s="9">
        <v>17.0</v>
      </c>
      <c r="B18" s="6" t="s">
        <v>20</v>
      </c>
      <c r="C18" s="11">
        <v>22845.0</v>
      </c>
      <c r="D18" s="9">
        <v>15.0</v>
      </c>
      <c r="E18" s="6" t="s">
        <v>25</v>
      </c>
      <c r="F18" s="13">
        <v>46000.0</v>
      </c>
      <c r="G18" s="13">
        <v>14250.0</v>
      </c>
      <c r="H18" s="9">
        <v>97.0</v>
      </c>
      <c r="I18" s="9">
        <v>48.0</v>
      </c>
      <c r="J18" s="6" t="s">
        <v>33</v>
      </c>
    </row>
    <row r="19">
      <c r="A19" s="9">
        <v>18.0</v>
      </c>
      <c r="B19" s="6" t="s">
        <v>20</v>
      </c>
      <c r="C19" s="11">
        <v>20534.0</v>
      </c>
      <c r="D19" s="9">
        <v>16.0</v>
      </c>
      <c r="E19" s="6" t="s">
        <v>26</v>
      </c>
      <c r="F19" s="13">
        <v>103750.0</v>
      </c>
      <c r="G19" s="13">
        <v>27510.0</v>
      </c>
      <c r="H19" s="9">
        <v>97.0</v>
      </c>
      <c r="I19" s="9">
        <v>70.0</v>
      </c>
      <c r="J19" s="6" t="s">
        <v>33</v>
      </c>
    </row>
    <row r="20">
      <c r="A20" s="9">
        <v>19.0</v>
      </c>
      <c r="B20" s="6" t="s">
        <v>20</v>
      </c>
      <c r="C20" s="11">
        <v>22877.0</v>
      </c>
      <c r="D20" s="9">
        <v>12.0</v>
      </c>
      <c r="E20" s="6" t="s">
        <v>25</v>
      </c>
      <c r="F20" s="13">
        <v>42300.0</v>
      </c>
      <c r="G20" s="13">
        <v>14250.0</v>
      </c>
      <c r="H20" s="9">
        <v>97.0</v>
      </c>
      <c r="I20" s="9">
        <v>103.0</v>
      </c>
      <c r="J20" s="6" t="s">
        <v>33</v>
      </c>
    </row>
    <row r="21" ht="15.75" customHeight="1">
      <c r="A21" s="9">
        <v>20.0</v>
      </c>
      <c r="B21" s="6" t="s">
        <v>43</v>
      </c>
      <c r="C21" s="11">
        <v>14633.0</v>
      </c>
      <c r="D21" s="9">
        <v>12.0</v>
      </c>
      <c r="E21" s="6" t="s">
        <v>25</v>
      </c>
      <c r="F21" s="13">
        <v>26250.0</v>
      </c>
      <c r="G21" s="13">
        <v>11550.0</v>
      </c>
      <c r="H21" s="9">
        <v>97.0</v>
      </c>
      <c r="I21" s="9">
        <v>48.0</v>
      </c>
      <c r="J21" s="6" t="s">
        <v>33</v>
      </c>
    </row>
    <row r="22" ht="15.75" customHeight="1">
      <c r="A22" s="9">
        <v>21.0</v>
      </c>
      <c r="B22" s="6" t="s">
        <v>43</v>
      </c>
      <c r="C22" s="11">
        <v>23061.0</v>
      </c>
      <c r="D22" s="9">
        <v>16.0</v>
      </c>
      <c r="E22" s="6" t="s">
        <v>25</v>
      </c>
      <c r="F22" s="13">
        <v>38850.0</v>
      </c>
      <c r="G22" s="13">
        <v>15000.0</v>
      </c>
      <c r="H22" s="9">
        <v>97.0</v>
      </c>
      <c r="I22" s="9">
        <v>17.0</v>
      </c>
      <c r="J22" s="6" t="s">
        <v>33</v>
      </c>
    </row>
    <row r="23" ht="15.75" customHeight="1">
      <c r="A23" s="9">
        <v>22.0</v>
      </c>
      <c r="B23" s="6" t="s">
        <v>20</v>
      </c>
      <c r="C23" s="11">
        <v>14878.0</v>
      </c>
      <c r="D23" s="9">
        <v>12.0</v>
      </c>
      <c r="E23" s="6" t="s">
        <v>25</v>
      </c>
      <c r="F23" s="13">
        <v>21750.0</v>
      </c>
      <c r="G23" s="13">
        <v>12750.0</v>
      </c>
      <c r="H23" s="9">
        <v>97.0</v>
      </c>
      <c r="I23" s="9">
        <v>315.0</v>
      </c>
      <c r="J23" s="6" t="s">
        <v>113</v>
      </c>
    </row>
    <row r="24" ht="15.75" customHeight="1">
      <c r="A24" s="9">
        <v>23.0</v>
      </c>
      <c r="B24" s="6" t="s">
        <v>43</v>
      </c>
      <c r="C24" s="11">
        <v>23816.0</v>
      </c>
      <c r="D24" s="9">
        <v>15.0</v>
      </c>
      <c r="E24" s="6" t="s">
        <v>25</v>
      </c>
      <c r="F24" s="13">
        <v>24000.0</v>
      </c>
      <c r="G24" s="13">
        <v>11100.0</v>
      </c>
      <c r="H24" s="9">
        <v>97.0</v>
      </c>
      <c r="I24" s="9">
        <v>75.0</v>
      </c>
      <c r="J24" s="6" t="s">
        <v>113</v>
      </c>
    </row>
    <row r="25" ht="15.75" customHeight="1">
      <c r="A25" s="9">
        <v>24.0</v>
      </c>
      <c r="B25" s="6" t="s">
        <v>43</v>
      </c>
      <c r="C25" s="11">
        <v>12140.0</v>
      </c>
      <c r="D25" s="9">
        <v>12.0</v>
      </c>
      <c r="E25" s="6" t="s">
        <v>25</v>
      </c>
      <c r="F25" s="13">
        <v>16950.0</v>
      </c>
      <c r="G25" s="13">
        <v>9000.0</v>
      </c>
      <c r="H25" s="9">
        <v>97.0</v>
      </c>
      <c r="I25" s="9">
        <v>124.0</v>
      </c>
      <c r="J25" s="6" t="s">
        <v>113</v>
      </c>
    </row>
    <row r="26" ht="15.75" customHeight="1">
      <c r="A26" s="9">
        <v>25.0</v>
      </c>
      <c r="B26" s="6" t="s">
        <v>43</v>
      </c>
      <c r="C26" s="11">
        <v>15523.0</v>
      </c>
      <c r="D26" s="9">
        <v>15.0</v>
      </c>
      <c r="E26" s="6" t="s">
        <v>25</v>
      </c>
      <c r="F26" s="13">
        <v>21150.0</v>
      </c>
      <c r="G26" s="13">
        <v>9000.0</v>
      </c>
      <c r="H26" s="9">
        <v>97.0</v>
      </c>
      <c r="I26" s="9">
        <v>171.0</v>
      </c>
      <c r="J26" s="6" t="s">
        <v>113</v>
      </c>
    </row>
    <row r="27" ht="15.75" customHeight="1">
      <c r="A27" s="9">
        <v>26.0</v>
      </c>
      <c r="B27" s="6" t="s">
        <v>20</v>
      </c>
      <c r="C27" s="11">
        <v>24419.0</v>
      </c>
      <c r="D27" s="9">
        <v>15.0</v>
      </c>
      <c r="E27" s="6" t="s">
        <v>25</v>
      </c>
      <c r="F27" s="13">
        <v>31050.0</v>
      </c>
      <c r="G27" s="13">
        <v>12600.0</v>
      </c>
      <c r="H27" s="9">
        <v>96.0</v>
      </c>
      <c r="I27" s="9">
        <v>14.0</v>
      </c>
      <c r="J27" s="6" t="s">
        <v>33</v>
      </c>
    </row>
    <row r="28" ht="15.75" customHeight="1">
      <c r="A28" s="9">
        <v>27.0</v>
      </c>
      <c r="B28" s="6" t="s">
        <v>20</v>
      </c>
      <c r="C28" s="11">
        <v>19802.0</v>
      </c>
      <c r="D28" s="9">
        <v>19.0</v>
      </c>
      <c r="E28" s="6" t="s">
        <v>26</v>
      </c>
      <c r="F28" s="13">
        <v>60375.0</v>
      </c>
      <c r="G28" s="13">
        <v>27480.0</v>
      </c>
      <c r="H28" s="9">
        <v>96.0</v>
      </c>
      <c r="I28" s="9">
        <v>96.0</v>
      </c>
      <c r="J28" s="6" t="s">
        <v>33</v>
      </c>
    </row>
    <row r="29" ht="15.75" customHeight="1">
      <c r="A29" s="9">
        <v>28.0</v>
      </c>
      <c r="B29" s="6" t="s">
        <v>20</v>
      </c>
      <c r="C29" s="11">
        <v>23112.0</v>
      </c>
      <c r="D29" s="9">
        <v>15.0</v>
      </c>
      <c r="E29" s="6" t="s">
        <v>25</v>
      </c>
      <c r="F29" s="13">
        <v>32550.0</v>
      </c>
      <c r="G29" s="13">
        <v>14250.0</v>
      </c>
      <c r="H29" s="9">
        <v>96.0</v>
      </c>
      <c r="I29" s="9">
        <v>43.0</v>
      </c>
      <c r="J29" s="6" t="s">
        <v>33</v>
      </c>
    </row>
    <row r="30" ht="15.75" customHeight="1">
      <c r="A30" s="9">
        <v>29.0</v>
      </c>
      <c r="B30" s="6" t="s">
        <v>20</v>
      </c>
      <c r="C30" s="11">
        <v>16099.0</v>
      </c>
      <c r="D30" s="9">
        <v>19.0</v>
      </c>
      <c r="E30" s="6" t="s">
        <v>26</v>
      </c>
      <c r="F30" s="13">
        <v>135000.0</v>
      </c>
      <c r="G30" s="13">
        <v>79980.0</v>
      </c>
      <c r="H30" s="9">
        <v>96.0</v>
      </c>
      <c r="I30" s="9">
        <v>199.0</v>
      </c>
      <c r="J30" s="6" t="s">
        <v>33</v>
      </c>
    </row>
    <row r="31" ht="15.75" customHeight="1">
      <c r="A31" s="9">
        <v>30.0</v>
      </c>
      <c r="B31" s="6" t="s">
        <v>20</v>
      </c>
      <c r="C31" s="11">
        <v>22541.0</v>
      </c>
      <c r="D31" s="9">
        <v>15.0</v>
      </c>
      <c r="E31" s="6" t="s">
        <v>25</v>
      </c>
      <c r="F31" s="13">
        <v>31200.0</v>
      </c>
      <c r="G31" s="13">
        <v>14250.0</v>
      </c>
      <c r="H31" s="9">
        <v>96.0</v>
      </c>
      <c r="I31" s="9">
        <v>54.0</v>
      </c>
      <c r="J31" s="6" t="s">
        <v>33</v>
      </c>
    </row>
    <row r="32" ht="15.75" customHeight="1">
      <c r="A32" s="9">
        <v>31.0</v>
      </c>
      <c r="B32" s="6" t="s">
        <v>20</v>
      </c>
      <c r="C32" s="11">
        <v>23431.0</v>
      </c>
      <c r="D32" s="9">
        <v>12.0</v>
      </c>
      <c r="E32" s="6" t="s">
        <v>25</v>
      </c>
      <c r="F32" s="13">
        <v>36150.0</v>
      </c>
      <c r="G32" s="13">
        <v>14250.0</v>
      </c>
      <c r="H32" s="9">
        <v>96.0</v>
      </c>
      <c r="I32" s="9">
        <v>83.0</v>
      </c>
      <c r="J32" s="6" t="s">
        <v>33</v>
      </c>
    </row>
    <row r="33" ht="15.75" customHeight="1">
      <c r="A33" s="9">
        <v>32.0</v>
      </c>
      <c r="B33" s="6" t="s">
        <v>20</v>
      </c>
      <c r="C33" s="11">
        <v>19752.0</v>
      </c>
      <c r="D33" s="9">
        <v>19.0</v>
      </c>
      <c r="E33" s="6" t="s">
        <v>26</v>
      </c>
      <c r="F33" s="13">
        <v>110625.0</v>
      </c>
      <c r="G33" s="13">
        <v>45000.0</v>
      </c>
      <c r="H33" s="9">
        <v>96.0</v>
      </c>
      <c r="I33" s="9">
        <v>120.0</v>
      </c>
      <c r="J33" s="6" t="s">
        <v>33</v>
      </c>
    </row>
    <row r="34" ht="15.75" customHeight="1">
      <c r="A34" s="9">
        <v>33.0</v>
      </c>
      <c r="B34" s="6" t="s">
        <v>20</v>
      </c>
      <c r="C34" s="11">
        <v>22358.0</v>
      </c>
      <c r="D34" s="9">
        <v>15.0</v>
      </c>
      <c r="E34" s="6" t="s">
        <v>25</v>
      </c>
      <c r="F34" s="13">
        <v>42000.0</v>
      </c>
      <c r="G34" s="13">
        <v>15000.0</v>
      </c>
      <c r="H34" s="9">
        <v>96.0</v>
      </c>
      <c r="I34" s="9">
        <v>68.0</v>
      </c>
      <c r="J34" s="6" t="s">
        <v>33</v>
      </c>
    </row>
    <row r="35" ht="15.75" customHeight="1">
      <c r="A35" s="9">
        <v>34.0</v>
      </c>
      <c r="B35" s="6" t="s">
        <v>20</v>
      </c>
      <c r="C35" s="11">
        <v>17931.0</v>
      </c>
      <c r="D35" s="9">
        <v>19.0</v>
      </c>
      <c r="E35" s="6" t="s">
        <v>26</v>
      </c>
      <c r="F35" s="13">
        <v>92000.0</v>
      </c>
      <c r="G35" s="13">
        <v>39990.0</v>
      </c>
      <c r="H35" s="9">
        <v>96.0</v>
      </c>
      <c r="I35" s="9">
        <v>175.0</v>
      </c>
      <c r="J35" s="6" t="s">
        <v>33</v>
      </c>
    </row>
    <row r="36" ht="15.75" customHeight="1">
      <c r="A36" s="9">
        <v>35.0</v>
      </c>
      <c r="B36" s="6" t="s">
        <v>20</v>
      </c>
      <c r="C36" s="11">
        <v>22515.0</v>
      </c>
      <c r="D36" s="9">
        <v>17.0</v>
      </c>
      <c r="E36" s="6" t="s">
        <v>26</v>
      </c>
      <c r="F36" s="13">
        <v>81250.0</v>
      </c>
      <c r="G36" s="13">
        <v>30000.0</v>
      </c>
      <c r="H36" s="9">
        <v>96.0</v>
      </c>
      <c r="I36" s="9">
        <v>18.0</v>
      </c>
      <c r="J36" s="6" t="s">
        <v>33</v>
      </c>
    </row>
    <row r="37" ht="15.75" customHeight="1">
      <c r="A37" s="9">
        <v>36.0</v>
      </c>
      <c r="B37" s="6" t="s">
        <v>43</v>
      </c>
      <c r="C37" s="11">
        <v>23230.0</v>
      </c>
      <c r="D37" s="9">
        <v>8.0</v>
      </c>
      <c r="E37" s="6" t="s">
        <v>25</v>
      </c>
      <c r="F37" s="13">
        <v>31350.0</v>
      </c>
      <c r="G37" s="13">
        <v>11250.0</v>
      </c>
      <c r="H37" s="9">
        <v>96.0</v>
      </c>
      <c r="I37" s="9">
        <v>52.0</v>
      </c>
      <c r="J37" s="6" t="s">
        <v>33</v>
      </c>
    </row>
    <row r="38" ht="15.75" customHeight="1">
      <c r="A38" s="9">
        <v>37.0</v>
      </c>
      <c r="B38" s="6" t="s">
        <v>20</v>
      </c>
      <c r="C38" s="11">
        <v>20006.0</v>
      </c>
      <c r="D38" s="9">
        <v>12.0</v>
      </c>
      <c r="E38" s="6" t="s">
        <v>25</v>
      </c>
      <c r="F38" s="13">
        <v>29100.0</v>
      </c>
      <c r="G38" s="13">
        <v>13500.0</v>
      </c>
      <c r="H38" s="9">
        <v>96.0</v>
      </c>
      <c r="I38" s="9">
        <v>113.0</v>
      </c>
      <c r="J38" s="6" t="s">
        <v>113</v>
      </c>
    </row>
    <row r="39" ht="15.75" customHeight="1">
      <c r="A39" s="9">
        <v>38.0</v>
      </c>
      <c r="B39" s="6" t="s">
        <v>20</v>
      </c>
      <c r="C39" s="11">
        <v>22763.0</v>
      </c>
      <c r="D39" s="9">
        <v>15.0</v>
      </c>
      <c r="E39" s="6" t="s">
        <v>25</v>
      </c>
      <c r="F39" s="13">
        <v>31350.0</v>
      </c>
      <c r="G39" s="13">
        <v>15000.0</v>
      </c>
      <c r="H39" s="9">
        <v>96.0</v>
      </c>
      <c r="I39" s="9">
        <v>49.0</v>
      </c>
      <c r="J39" s="6" t="s">
        <v>113</v>
      </c>
    </row>
    <row r="40" ht="15.75" customHeight="1">
      <c r="A40" s="9">
        <v>39.0</v>
      </c>
      <c r="B40" s="6" t="s">
        <v>20</v>
      </c>
      <c r="C40" s="11">
        <v>22089.0</v>
      </c>
      <c r="D40" s="9">
        <v>16.0</v>
      </c>
      <c r="E40" s="6" t="s">
        <v>25</v>
      </c>
      <c r="F40" s="13">
        <v>36000.0</v>
      </c>
      <c r="G40" s="13">
        <v>15000.0</v>
      </c>
      <c r="H40" s="9">
        <v>96.0</v>
      </c>
      <c r="I40" s="9">
        <v>46.0</v>
      </c>
      <c r="J40" s="6" t="s">
        <v>113</v>
      </c>
    </row>
    <row r="41" ht="15.75" customHeight="1">
      <c r="A41" s="9">
        <v>40.0</v>
      </c>
      <c r="B41" s="6" t="s">
        <v>43</v>
      </c>
      <c r="C41" s="11">
        <v>12294.0</v>
      </c>
      <c r="D41" s="9">
        <v>15.0</v>
      </c>
      <c r="E41" s="6" t="s">
        <v>25</v>
      </c>
      <c r="F41" s="13">
        <v>19200.0</v>
      </c>
      <c r="G41" s="13">
        <v>9000.0</v>
      </c>
      <c r="H41" s="9">
        <v>96.0</v>
      </c>
      <c r="I41" s="9">
        <v>23.0</v>
      </c>
      <c r="J41" s="6" t="s">
        <v>113</v>
      </c>
    </row>
    <row r="42" ht="15.75" customHeight="1">
      <c r="A42" s="9">
        <v>41.0</v>
      </c>
      <c r="B42" s="6" t="s">
        <v>43</v>
      </c>
      <c r="C42" s="11">
        <v>22358.0</v>
      </c>
      <c r="D42" s="9">
        <v>12.0</v>
      </c>
      <c r="E42" s="6" t="s">
        <v>25</v>
      </c>
      <c r="F42" s="13">
        <v>23550.0</v>
      </c>
      <c r="G42" s="13">
        <v>11550.0</v>
      </c>
      <c r="H42" s="9">
        <v>96.0</v>
      </c>
      <c r="I42" s="9">
        <v>52.0</v>
      </c>
      <c r="J42" s="6" t="s">
        <v>113</v>
      </c>
    </row>
    <row r="43" ht="15.75" customHeight="1">
      <c r="A43" s="9">
        <v>42.0</v>
      </c>
      <c r="B43" s="6" t="s">
        <v>20</v>
      </c>
      <c r="C43" s="11">
        <v>22182.0</v>
      </c>
      <c r="D43" s="9">
        <v>15.0</v>
      </c>
      <c r="E43" s="6" t="s">
        <v>25</v>
      </c>
      <c r="F43" s="13">
        <v>35100.0</v>
      </c>
      <c r="G43" s="13">
        <v>16500.0</v>
      </c>
      <c r="H43" s="9">
        <v>95.0</v>
      </c>
      <c r="I43" s="9">
        <v>90.0</v>
      </c>
      <c r="J43" s="6" t="s">
        <v>33</v>
      </c>
    </row>
    <row r="44" ht="15.75" customHeight="1">
      <c r="A44" s="9">
        <v>43.0</v>
      </c>
      <c r="B44" s="6" t="s">
        <v>20</v>
      </c>
      <c r="C44" s="11">
        <v>23394.0</v>
      </c>
      <c r="D44" s="9">
        <v>12.0</v>
      </c>
      <c r="E44" s="6" t="s">
        <v>25</v>
      </c>
      <c r="F44" s="13">
        <v>23250.0</v>
      </c>
      <c r="G44" s="13">
        <v>14250.0</v>
      </c>
      <c r="H44" s="9">
        <v>95.0</v>
      </c>
      <c r="I44" s="9">
        <v>46.0</v>
      </c>
      <c r="J44" s="6" t="s">
        <v>33</v>
      </c>
    </row>
    <row r="45" ht="15.75" customHeight="1">
      <c r="A45" s="9">
        <v>44.0</v>
      </c>
      <c r="B45" s="6" t="s">
        <v>20</v>
      </c>
      <c r="C45" s="11">
        <v>23177.0</v>
      </c>
      <c r="D45" s="9">
        <v>8.0</v>
      </c>
      <c r="E45" s="6" t="s">
        <v>25</v>
      </c>
      <c r="F45" s="13">
        <v>29250.0</v>
      </c>
      <c r="G45" s="13">
        <v>14250.0</v>
      </c>
      <c r="H45" s="9">
        <v>95.0</v>
      </c>
      <c r="I45" s="9">
        <v>50.0</v>
      </c>
      <c r="J45" s="6" t="s">
        <v>33</v>
      </c>
    </row>
    <row r="46" ht="15.75" customHeight="1">
      <c r="A46" s="9">
        <v>45.0</v>
      </c>
      <c r="B46" s="6" t="s">
        <v>20</v>
      </c>
      <c r="C46" s="11">
        <v>14094.0</v>
      </c>
      <c r="D46" s="9">
        <v>12.0</v>
      </c>
      <c r="E46" s="6" t="s">
        <v>133</v>
      </c>
      <c r="F46" s="13">
        <v>30750.0</v>
      </c>
      <c r="G46" s="13">
        <v>13500.0</v>
      </c>
      <c r="H46" s="9">
        <v>95.0</v>
      </c>
      <c r="I46" s="9">
        <v>307.0</v>
      </c>
      <c r="J46" s="6" t="s">
        <v>33</v>
      </c>
    </row>
    <row r="47" ht="15.75" customHeight="1">
      <c r="A47" s="9">
        <v>46.0</v>
      </c>
      <c r="B47" s="6" t="s">
        <v>43</v>
      </c>
      <c r="C47" s="11">
        <v>14933.0</v>
      </c>
      <c r="D47" s="9">
        <v>15.0</v>
      </c>
      <c r="E47" s="6" t="s">
        <v>25</v>
      </c>
      <c r="F47" s="13">
        <v>22350.0</v>
      </c>
      <c r="G47" s="13">
        <v>12750.0</v>
      </c>
      <c r="H47" s="9">
        <v>95.0</v>
      </c>
      <c r="I47" s="9">
        <v>165.0</v>
      </c>
      <c r="J47" s="6" t="s">
        <v>33</v>
      </c>
    </row>
    <row r="48" ht="15.75" customHeight="1">
      <c r="A48" s="9">
        <v>47.0</v>
      </c>
      <c r="B48" s="6" t="s">
        <v>43</v>
      </c>
      <c r="C48" s="11">
        <v>13998.0</v>
      </c>
      <c r="D48" s="9">
        <v>12.0</v>
      </c>
      <c r="E48" s="6" t="s">
        <v>25</v>
      </c>
      <c r="F48" s="13">
        <v>30000.0</v>
      </c>
      <c r="G48" s="13">
        <v>16500.0</v>
      </c>
      <c r="H48" s="9">
        <v>95.0</v>
      </c>
      <c r="I48" s="9">
        <v>228.0</v>
      </c>
      <c r="J48" s="6" t="s">
        <v>33</v>
      </c>
    </row>
    <row r="49" ht="15.75" customHeight="1">
      <c r="A49" s="9">
        <v>48.0</v>
      </c>
      <c r="B49" s="6" t="s">
        <v>20</v>
      </c>
      <c r="C49" s="11">
        <v>17325.0</v>
      </c>
      <c r="D49" s="9">
        <v>12.0</v>
      </c>
      <c r="E49" s="6" t="s">
        <v>133</v>
      </c>
      <c r="F49" s="13">
        <v>30750.0</v>
      </c>
      <c r="G49" s="13">
        <v>14100.0</v>
      </c>
      <c r="H49" s="9">
        <v>94.0</v>
      </c>
      <c r="I49" s="9">
        <v>240.0</v>
      </c>
      <c r="J49" s="6" t="s">
        <v>33</v>
      </c>
    </row>
    <row r="50" ht="15.75" customHeight="1">
      <c r="A50" s="9">
        <v>49.0</v>
      </c>
      <c r="B50" s="6" t="s">
        <v>20</v>
      </c>
      <c r="C50" s="11">
        <v>21444.0</v>
      </c>
      <c r="D50" s="9">
        <v>15.0</v>
      </c>
      <c r="E50" s="6" t="s">
        <v>25</v>
      </c>
      <c r="F50" s="13">
        <v>34800.0</v>
      </c>
      <c r="G50" s="13">
        <v>16500.0</v>
      </c>
      <c r="H50" s="9">
        <v>94.0</v>
      </c>
      <c r="I50" s="9">
        <v>93.0</v>
      </c>
      <c r="J50" s="6" t="s">
        <v>33</v>
      </c>
    </row>
    <row r="51" ht="15.75" customHeight="1">
      <c r="A51" s="9">
        <v>50.0</v>
      </c>
      <c r="B51" s="6" t="s">
        <v>20</v>
      </c>
      <c r="C51" s="11">
        <v>21955.0</v>
      </c>
      <c r="D51" s="9">
        <v>16.0</v>
      </c>
      <c r="E51" s="6" t="s">
        <v>26</v>
      </c>
      <c r="F51" s="13">
        <v>60000.0</v>
      </c>
      <c r="G51" s="13">
        <v>23730.0</v>
      </c>
      <c r="H51" s="9">
        <v>94.0</v>
      </c>
      <c r="I51" s="9">
        <v>59.0</v>
      </c>
      <c r="J51" s="6" t="s">
        <v>33</v>
      </c>
    </row>
    <row r="52" ht="15.75" customHeight="1">
      <c r="A52" s="9">
        <v>51.0</v>
      </c>
      <c r="B52" s="6" t="s">
        <v>20</v>
      </c>
      <c r="C52" s="11">
        <v>22835.0</v>
      </c>
      <c r="D52" s="9">
        <v>12.0</v>
      </c>
      <c r="E52" s="6" t="s">
        <v>25</v>
      </c>
      <c r="F52" s="13">
        <v>35550.0</v>
      </c>
      <c r="G52" s="13">
        <v>15000.0</v>
      </c>
      <c r="H52" s="9">
        <v>94.0</v>
      </c>
      <c r="I52" s="9">
        <v>48.0</v>
      </c>
      <c r="J52" s="6" t="s">
        <v>33</v>
      </c>
    </row>
    <row r="53" ht="15.75" customHeight="1">
      <c r="A53" s="9">
        <v>52.0</v>
      </c>
      <c r="B53" s="6" t="s">
        <v>20</v>
      </c>
      <c r="C53" s="11">
        <v>23327.0</v>
      </c>
      <c r="D53" s="9">
        <v>15.0</v>
      </c>
      <c r="E53" s="6" t="s">
        <v>25</v>
      </c>
      <c r="F53" s="13">
        <v>45150.0</v>
      </c>
      <c r="G53" s="13">
        <v>15000.0</v>
      </c>
      <c r="H53" s="9">
        <v>94.0</v>
      </c>
      <c r="I53" s="9">
        <v>40.0</v>
      </c>
      <c r="J53" s="6" t="s">
        <v>33</v>
      </c>
    </row>
    <row r="54" ht="15.75" customHeight="1">
      <c r="A54" s="9">
        <v>53.0</v>
      </c>
      <c r="B54" s="6" t="s">
        <v>20</v>
      </c>
      <c r="C54" s="11">
        <v>19835.0</v>
      </c>
      <c r="D54" s="9">
        <v>18.0</v>
      </c>
      <c r="E54" s="6" t="s">
        <v>26</v>
      </c>
      <c r="F54" s="13">
        <v>73750.0</v>
      </c>
      <c r="G54" s="13">
        <v>26250.0</v>
      </c>
      <c r="H54" s="9">
        <v>94.0</v>
      </c>
      <c r="I54" s="9">
        <v>56.0</v>
      </c>
      <c r="J54" s="6" t="s">
        <v>33</v>
      </c>
    </row>
    <row r="55" ht="15.75" customHeight="1">
      <c r="A55" s="9">
        <v>54.0</v>
      </c>
      <c r="B55" s="6" t="s">
        <v>20</v>
      </c>
      <c r="C55" s="11">
        <v>11478.0</v>
      </c>
      <c r="D55" s="9">
        <v>12.0</v>
      </c>
      <c r="E55" s="6" t="s">
        <v>25</v>
      </c>
      <c r="F55" s="13">
        <v>25050.0</v>
      </c>
      <c r="G55" s="13">
        <v>13500.0</v>
      </c>
      <c r="H55" s="9">
        <v>94.0</v>
      </c>
      <c r="I55" s="9">
        <v>444.0</v>
      </c>
      <c r="J55" s="6" t="s">
        <v>33</v>
      </c>
    </row>
    <row r="56" ht="15.75" customHeight="1">
      <c r="A56" s="9">
        <v>55.0</v>
      </c>
      <c r="B56" s="6" t="s">
        <v>20</v>
      </c>
      <c r="C56" s="11">
        <v>22092.0</v>
      </c>
      <c r="D56" s="9">
        <v>12.0</v>
      </c>
      <c r="E56" s="6" t="s">
        <v>25</v>
      </c>
      <c r="F56" s="13">
        <v>27000.0</v>
      </c>
      <c r="G56" s="13">
        <v>15000.0</v>
      </c>
      <c r="H56" s="9">
        <v>94.0</v>
      </c>
      <c r="I56" s="9">
        <v>120.0</v>
      </c>
      <c r="J56" s="6" t="s">
        <v>33</v>
      </c>
    </row>
    <row r="57" ht="15.75" customHeight="1">
      <c r="A57" s="9">
        <v>56.0</v>
      </c>
      <c r="B57" s="6" t="s">
        <v>20</v>
      </c>
      <c r="C57" s="11">
        <v>22752.0</v>
      </c>
      <c r="D57" s="9">
        <v>15.0</v>
      </c>
      <c r="E57" s="6" t="s">
        <v>25</v>
      </c>
      <c r="F57" s="13">
        <v>26850.0</v>
      </c>
      <c r="G57" s="13">
        <v>13500.0</v>
      </c>
      <c r="H57" s="9">
        <v>94.0</v>
      </c>
      <c r="I57" s="9">
        <v>5.0</v>
      </c>
      <c r="J57" s="6" t="s">
        <v>33</v>
      </c>
    </row>
    <row r="58" ht="15.75" customHeight="1">
      <c r="A58" s="9">
        <v>57.0</v>
      </c>
      <c r="B58" s="6" t="s">
        <v>20</v>
      </c>
      <c r="C58" s="11">
        <v>23116.0</v>
      </c>
      <c r="D58" s="9">
        <v>15.0</v>
      </c>
      <c r="E58" s="6" t="s">
        <v>25</v>
      </c>
      <c r="F58" s="13">
        <v>33900.0</v>
      </c>
      <c r="G58" s="13">
        <v>15750.0</v>
      </c>
      <c r="H58" s="9">
        <v>94.0</v>
      </c>
      <c r="I58" s="9">
        <v>78.0</v>
      </c>
      <c r="J58" s="6" t="s">
        <v>33</v>
      </c>
    </row>
    <row r="59" ht="15.75" customHeight="1">
      <c r="A59" s="9">
        <v>58.0</v>
      </c>
      <c r="B59" s="6" t="s">
        <v>43</v>
      </c>
      <c r="C59" s="11">
        <v>23695.0</v>
      </c>
      <c r="D59" s="9">
        <v>15.0</v>
      </c>
      <c r="E59" s="6" t="s">
        <v>25</v>
      </c>
      <c r="F59" s="13">
        <v>26400.0</v>
      </c>
      <c r="G59" s="13">
        <v>13500.0</v>
      </c>
      <c r="H59" s="9">
        <v>94.0</v>
      </c>
      <c r="I59" s="9">
        <v>3.0</v>
      </c>
      <c r="J59" s="6" t="s">
        <v>33</v>
      </c>
    </row>
    <row r="60" ht="15.75" customHeight="1">
      <c r="A60" s="9">
        <v>59.0</v>
      </c>
      <c r="B60" s="6" t="s">
        <v>20</v>
      </c>
      <c r="C60" s="11">
        <v>22408.0</v>
      </c>
      <c r="D60" s="9">
        <v>15.0</v>
      </c>
      <c r="E60" s="6" t="s">
        <v>25</v>
      </c>
      <c r="F60" s="13">
        <v>28050.0</v>
      </c>
      <c r="G60" s="13">
        <v>14250.0</v>
      </c>
      <c r="H60" s="9">
        <v>94.0</v>
      </c>
      <c r="I60" s="9">
        <v>36.0</v>
      </c>
      <c r="J60" s="6" t="s">
        <v>113</v>
      </c>
    </row>
    <row r="61" ht="15.75" customHeight="1">
      <c r="A61" s="9">
        <v>60.0</v>
      </c>
      <c r="B61" s="6" t="s">
        <v>20</v>
      </c>
      <c r="C61" s="11">
        <v>21597.0</v>
      </c>
      <c r="D61" s="9">
        <v>12.0</v>
      </c>
      <c r="E61" s="6" t="s">
        <v>25</v>
      </c>
      <c r="F61" s="13">
        <v>30900.0</v>
      </c>
      <c r="G61" s="13">
        <v>15000.0</v>
      </c>
      <c r="H61" s="9">
        <v>94.0</v>
      </c>
      <c r="I61" s="9">
        <v>102.0</v>
      </c>
      <c r="J61" s="6" t="s">
        <v>113</v>
      </c>
    </row>
    <row r="62" ht="15.75" customHeight="1">
      <c r="A62" s="9">
        <v>61.0</v>
      </c>
      <c r="B62" s="6" t="s">
        <v>20</v>
      </c>
      <c r="C62" s="11">
        <v>23495.0</v>
      </c>
      <c r="D62" s="9">
        <v>8.0</v>
      </c>
      <c r="E62" s="6" t="s">
        <v>25</v>
      </c>
      <c r="F62" s="13">
        <v>22500.0</v>
      </c>
      <c r="G62" s="13">
        <v>9750.0</v>
      </c>
      <c r="H62" s="9">
        <v>94.0</v>
      </c>
      <c r="I62" s="9">
        <v>36.0</v>
      </c>
      <c r="J62" s="6" t="s">
        <v>113</v>
      </c>
    </row>
    <row r="63" ht="15.75" customHeight="1">
      <c r="A63" s="9">
        <v>62.0</v>
      </c>
      <c r="B63" s="6" t="s">
        <v>20</v>
      </c>
      <c r="C63" s="11">
        <v>22845.0</v>
      </c>
      <c r="D63" s="9">
        <v>16.0</v>
      </c>
      <c r="E63" s="6" t="s">
        <v>26</v>
      </c>
      <c r="F63" s="13">
        <v>48000.0</v>
      </c>
      <c r="G63" s="13">
        <v>21750.0</v>
      </c>
      <c r="H63" s="9">
        <v>93.0</v>
      </c>
      <c r="I63" s="9">
        <v>22.0</v>
      </c>
      <c r="J63" s="6" t="s">
        <v>33</v>
      </c>
    </row>
    <row r="64" ht="15.75" customHeight="1">
      <c r="A64" s="9">
        <v>63.0</v>
      </c>
      <c r="B64" s="6" t="s">
        <v>20</v>
      </c>
      <c r="C64" s="11">
        <v>22513.0</v>
      </c>
      <c r="D64" s="9">
        <v>17.0</v>
      </c>
      <c r="E64" s="6" t="s">
        <v>26</v>
      </c>
      <c r="F64" s="13">
        <v>55000.0</v>
      </c>
      <c r="G64" s="13">
        <v>26250.0</v>
      </c>
      <c r="H64" s="9">
        <v>93.0</v>
      </c>
      <c r="I64" s="9">
        <v>32.0</v>
      </c>
      <c r="J64" s="6" t="s">
        <v>33</v>
      </c>
    </row>
    <row r="65" ht="15.75" customHeight="1">
      <c r="A65" s="9">
        <v>64.0</v>
      </c>
      <c r="B65" s="6" t="s">
        <v>20</v>
      </c>
      <c r="C65" s="11">
        <v>23282.0</v>
      </c>
      <c r="D65" s="9">
        <v>16.0</v>
      </c>
      <c r="E65" s="6" t="s">
        <v>26</v>
      </c>
      <c r="F65" s="13">
        <v>53125.0</v>
      </c>
      <c r="G65" s="13">
        <v>21000.0</v>
      </c>
      <c r="H65" s="9">
        <v>93.0</v>
      </c>
      <c r="I65" s="9">
        <v>48.0</v>
      </c>
      <c r="J65" s="6" t="s">
        <v>33</v>
      </c>
    </row>
    <row r="66" ht="15.75" customHeight="1">
      <c r="A66" s="9">
        <v>65.0</v>
      </c>
      <c r="B66" s="6" t="s">
        <v>20</v>
      </c>
      <c r="C66" s="11">
        <v>23464.0</v>
      </c>
      <c r="D66" s="9">
        <v>8.0</v>
      </c>
      <c r="E66" s="6" t="s">
        <v>25</v>
      </c>
      <c r="F66" s="13">
        <v>21900.0</v>
      </c>
      <c r="G66" s="13">
        <v>14550.0</v>
      </c>
      <c r="H66" s="9">
        <v>93.0</v>
      </c>
      <c r="I66" s="9">
        <v>41.0</v>
      </c>
      <c r="J66" s="6" t="s">
        <v>33</v>
      </c>
    </row>
    <row r="67" ht="15.75" customHeight="1">
      <c r="A67" s="9">
        <v>66.0</v>
      </c>
      <c r="B67" s="6" t="s">
        <v>20</v>
      </c>
      <c r="C67" s="11">
        <v>22693.0</v>
      </c>
      <c r="D67" s="9">
        <v>19.0</v>
      </c>
      <c r="E67" s="6" t="s">
        <v>26</v>
      </c>
      <c r="F67" s="13">
        <v>78125.0</v>
      </c>
      <c r="G67" s="13">
        <v>30000.0</v>
      </c>
      <c r="H67" s="9">
        <v>93.0</v>
      </c>
      <c r="I67" s="9">
        <v>7.0</v>
      </c>
      <c r="J67" s="6" t="s">
        <v>33</v>
      </c>
    </row>
    <row r="68" ht="15.75" customHeight="1">
      <c r="A68" s="9">
        <v>67.0</v>
      </c>
      <c r="B68" s="6" t="s">
        <v>20</v>
      </c>
      <c r="C68" s="11">
        <v>23525.0</v>
      </c>
      <c r="D68" s="9">
        <v>16.0</v>
      </c>
      <c r="E68" s="6" t="s">
        <v>26</v>
      </c>
      <c r="F68" s="13">
        <v>46000.0</v>
      </c>
      <c r="G68" s="13">
        <v>21240.0</v>
      </c>
      <c r="H68" s="9">
        <v>93.0</v>
      </c>
      <c r="I68" s="9">
        <v>35.0</v>
      </c>
      <c r="J68" s="6" t="s">
        <v>33</v>
      </c>
    </row>
    <row r="69" ht="15.75" customHeight="1">
      <c r="A69" s="9">
        <v>68.0</v>
      </c>
      <c r="B69" s="6" t="s">
        <v>20</v>
      </c>
      <c r="C69" s="11">
        <v>23136.0</v>
      </c>
      <c r="D69" s="9">
        <v>16.0</v>
      </c>
      <c r="E69" s="6" t="s">
        <v>26</v>
      </c>
      <c r="F69" s="13">
        <v>45250.0</v>
      </c>
      <c r="G69" s="13">
        <v>21480.0</v>
      </c>
      <c r="H69" s="9">
        <v>93.0</v>
      </c>
      <c r="I69" s="9">
        <v>36.0</v>
      </c>
      <c r="J69" s="6" t="s">
        <v>33</v>
      </c>
    </row>
    <row r="70" ht="15.75" customHeight="1">
      <c r="A70" s="9">
        <v>69.0</v>
      </c>
      <c r="B70" s="6" t="s">
        <v>20</v>
      </c>
      <c r="C70" s="11">
        <v>22090.0</v>
      </c>
      <c r="D70" s="9">
        <v>16.0</v>
      </c>
      <c r="E70" s="6" t="s">
        <v>26</v>
      </c>
      <c r="F70" s="13">
        <v>56550.0</v>
      </c>
      <c r="G70" s="13">
        <v>25000.0</v>
      </c>
      <c r="H70" s="9">
        <v>93.0</v>
      </c>
      <c r="I70" s="9">
        <v>34.0</v>
      </c>
      <c r="J70" s="6" t="s">
        <v>33</v>
      </c>
    </row>
    <row r="71" ht="15.75" customHeight="1">
      <c r="A71" s="9">
        <v>70.0</v>
      </c>
      <c r="B71" s="6" t="s">
        <v>20</v>
      </c>
      <c r="C71" s="11">
        <v>22685.0</v>
      </c>
      <c r="D71" s="9">
        <v>15.0</v>
      </c>
      <c r="E71" s="6" t="s">
        <v>25</v>
      </c>
      <c r="F71" s="13">
        <v>41100.0</v>
      </c>
      <c r="G71" s="13">
        <v>20250.0</v>
      </c>
      <c r="H71" s="9">
        <v>93.0</v>
      </c>
      <c r="I71" s="9">
        <v>27.0</v>
      </c>
      <c r="J71" s="6" t="s">
        <v>33</v>
      </c>
    </row>
    <row r="72" ht="15.75" customHeight="1">
      <c r="A72" s="9">
        <v>71.0</v>
      </c>
      <c r="B72" s="6" t="s">
        <v>20</v>
      </c>
      <c r="C72" s="11">
        <v>17771.0</v>
      </c>
      <c r="D72" s="9">
        <v>17.0</v>
      </c>
      <c r="E72" s="6" t="s">
        <v>26</v>
      </c>
      <c r="F72" s="13">
        <v>82500.0</v>
      </c>
      <c r="G72" s="13">
        <v>34980.0</v>
      </c>
      <c r="H72" s="9">
        <v>93.0</v>
      </c>
      <c r="I72" s="9">
        <v>207.0</v>
      </c>
      <c r="J72" s="6" t="s">
        <v>33</v>
      </c>
    </row>
    <row r="73" ht="15.75" customHeight="1">
      <c r="A73" s="9">
        <v>72.0</v>
      </c>
      <c r="B73" s="6" t="s">
        <v>43</v>
      </c>
      <c r="C73" s="11">
        <v>23383.0</v>
      </c>
      <c r="D73" s="9">
        <v>16.0</v>
      </c>
      <c r="E73" s="6" t="s">
        <v>25</v>
      </c>
      <c r="F73" s="13">
        <v>54000.0</v>
      </c>
      <c r="G73" s="13">
        <v>18000.0</v>
      </c>
      <c r="H73" s="9">
        <v>93.0</v>
      </c>
      <c r="I73" s="9">
        <v>11.0</v>
      </c>
      <c r="J73" s="6" t="s">
        <v>33</v>
      </c>
    </row>
    <row r="74" ht="15.75" customHeight="1">
      <c r="A74" s="9">
        <v>73.0</v>
      </c>
      <c r="B74" s="6" t="s">
        <v>43</v>
      </c>
      <c r="C74" s="11">
        <v>24877.0</v>
      </c>
      <c r="D74" s="9">
        <v>12.0</v>
      </c>
      <c r="E74" s="6" t="s">
        <v>25</v>
      </c>
      <c r="F74" s="13">
        <v>26400.0</v>
      </c>
      <c r="G74" s="13">
        <v>10500.0</v>
      </c>
      <c r="H74" s="9">
        <v>93.0</v>
      </c>
      <c r="I74" s="9"/>
      <c r="J74" s="6" t="s">
        <v>33</v>
      </c>
    </row>
    <row r="75" ht="15.75" customHeight="1">
      <c r="A75" s="9">
        <v>74.0</v>
      </c>
      <c r="B75" s="6" t="s">
        <v>43</v>
      </c>
      <c r="C75" s="11">
        <v>12172.0</v>
      </c>
      <c r="D75" s="9">
        <v>15.0</v>
      </c>
      <c r="E75" s="6" t="s">
        <v>25</v>
      </c>
      <c r="F75" s="13">
        <v>33900.0</v>
      </c>
      <c r="G75" s="13">
        <v>19500.0</v>
      </c>
      <c r="H75" s="9">
        <v>93.0</v>
      </c>
      <c r="I75" s="9">
        <v>192.0</v>
      </c>
      <c r="J75" s="6" t="s">
        <v>33</v>
      </c>
    </row>
    <row r="76" ht="15.75" customHeight="1">
      <c r="A76" s="9">
        <v>75.0</v>
      </c>
      <c r="B76" s="6" t="s">
        <v>43</v>
      </c>
      <c r="C76" s="11">
        <v>23966.0</v>
      </c>
      <c r="D76" s="9">
        <v>15.0</v>
      </c>
      <c r="E76" s="6" t="s">
        <v>25</v>
      </c>
      <c r="F76" s="13">
        <v>24150.0</v>
      </c>
      <c r="G76" s="13">
        <v>11550.0</v>
      </c>
      <c r="H76" s="9">
        <v>93.0</v>
      </c>
      <c r="I76" s="9"/>
      <c r="J76" s="6" t="s">
        <v>33</v>
      </c>
    </row>
    <row r="77" ht="15.75" customHeight="1">
      <c r="A77" s="9">
        <v>76.0</v>
      </c>
      <c r="B77" s="6" t="s">
        <v>43</v>
      </c>
      <c r="C77" s="11">
        <v>24718.0</v>
      </c>
      <c r="D77" s="9">
        <v>15.0</v>
      </c>
      <c r="E77" s="6" t="s">
        <v>25</v>
      </c>
      <c r="F77" s="13">
        <v>29250.0</v>
      </c>
      <c r="G77" s="13">
        <v>11550.0</v>
      </c>
      <c r="H77" s="9">
        <v>93.0</v>
      </c>
      <c r="I77" s="9">
        <v>11.0</v>
      </c>
      <c r="J77" s="6" t="s">
        <v>33</v>
      </c>
    </row>
    <row r="78" ht="15.75" customHeight="1">
      <c r="A78" s="9">
        <v>77.0</v>
      </c>
      <c r="B78" s="6" t="s">
        <v>43</v>
      </c>
      <c r="C78" s="11">
        <v>25090.0</v>
      </c>
      <c r="D78" s="9">
        <v>12.0</v>
      </c>
      <c r="E78" s="6" t="s">
        <v>25</v>
      </c>
      <c r="F78" s="13">
        <v>27600.0</v>
      </c>
      <c r="G78" s="13">
        <v>11400.0</v>
      </c>
      <c r="H78" s="9">
        <v>93.0</v>
      </c>
      <c r="I78" s="9">
        <v>6.0</v>
      </c>
      <c r="J78" s="6" t="s">
        <v>33</v>
      </c>
    </row>
    <row r="79" ht="15.75" customHeight="1">
      <c r="A79" s="9">
        <v>78.0</v>
      </c>
      <c r="B79" s="6" t="s">
        <v>43</v>
      </c>
      <c r="C79" s="11">
        <v>25070.0</v>
      </c>
      <c r="D79" s="9">
        <v>12.0</v>
      </c>
      <c r="E79" s="6" t="s">
        <v>25</v>
      </c>
      <c r="F79" s="13">
        <v>22950.0</v>
      </c>
      <c r="G79" s="13">
        <v>10500.0</v>
      </c>
      <c r="H79" s="9">
        <v>93.0</v>
      </c>
      <c r="I79" s="9">
        <v>10.0</v>
      </c>
      <c r="J79" s="6" t="s">
        <v>33</v>
      </c>
    </row>
    <row r="80" ht="15.75" customHeight="1">
      <c r="A80" s="9">
        <v>79.0</v>
      </c>
      <c r="B80" s="6" t="s">
        <v>43</v>
      </c>
      <c r="C80" s="11">
        <v>22669.0</v>
      </c>
      <c r="D80" s="9">
        <v>16.0</v>
      </c>
      <c r="E80" s="6" t="s">
        <v>25</v>
      </c>
      <c r="F80" s="13">
        <v>34800.0</v>
      </c>
      <c r="G80" s="13">
        <v>14550.0</v>
      </c>
      <c r="H80" s="9">
        <v>93.0</v>
      </c>
      <c r="I80" s="9">
        <v>8.0</v>
      </c>
      <c r="J80" s="6" t="s">
        <v>33</v>
      </c>
    </row>
    <row r="81" ht="15.75" customHeight="1">
      <c r="A81" s="9">
        <v>80.0</v>
      </c>
      <c r="B81" s="6" t="s">
        <v>43</v>
      </c>
      <c r="C81" s="11">
        <v>22426.0</v>
      </c>
      <c r="D81" s="9">
        <v>16.0</v>
      </c>
      <c r="E81" s="6" t="s">
        <v>25</v>
      </c>
      <c r="F81" s="13">
        <v>51000.0</v>
      </c>
      <c r="G81" s="13">
        <v>18000.0</v>
      </c>
      <c r="H81" s="9">
        <v>93.0</v>
      </c>
      <c r="I81" s="9">
        <v>22.0</v>
      </c>
      <c r="J81" s="6" t="s">
        <v>33</v>
      </c>
    </row>
    <row r="82" ht="15.75" customHeight="1">
      <c r="A82" s="9">
        <v>81.0</v>
      </c>
      <c r="B82" s="6" t="s">
        <v>43</v>
      </c>
      <c r="C82" s="11">
        <v>24909.0</v>
      </c>
      <c r="D82" s="9">
        <v>12.0</v>
      </c>
      <c r="E82" s="6" t="s">
        <v>25</v>
      </c>
      <c r="F82" s="13">
        <v>24300.0</v>
      </c>
      <c r="G82" s="13">
        <v>10950.0</v>
      </c>
      <c r="H82" s="9">
        <v>93.0</v>
      </c>
      <c r="I82" s="9">
        <v>5.0</v>
      </c>
      <c r="J82" s="6" t="s">
        <v>33</v>
      </c>
    </row>
    <row r="83" ht="15.75" customHeight="1">
      <c r="A83" s="9">
        <v>82.0</v>
      </c>
      <c r="B83" s="6" t="s">
        <v>43</v>
      </c>
      <c r="C83" s="11">
        <v>17407.0</v>
      </c>
      <c r="D83" s="9">
        <v>12.0</v>
      </c>
      <c r="E83" s="6" t="s">
        <v>25</v>
      </c>
      <c r="F83" s="13">
        <v>24750.0</v>
      </c>
      <c r="G83" s="13">
        <v>14250.0</v>
      </c>
      <c r="H83" s="9">
        <v>93.0</v>
      </c>
      <c r="I83" s="9">
        <v>193.0</v>
      </c>
      <c r="J83" s="6" t="s">
        <v>113</v>
      </c>
    </row>
    <row r="84" ht="15.75" customHeight="1">
      <c r="A84" s="9">
        <v>83.0</v>
      </c>
      <c r="B84" s="6" t="s">
        <v>43</v>
      </c>
      <c r="C84" s="11">
        <v>24757.0</v>
      </c>
      <c r="D84" s="9">
        <v>12.0</v>
      </c>
      <c r="E84" s="6" t="s">
        <v>25</v>
      </c>
      <c r="F84" s="13">
        <v>22950.0</v>
      </c>
      <c r="G84" s="13">
        <v>11250.0</v>
      </c>
      <c r="H84" s="9">
        <v>93.0</v>
      </c>
      <c r="I84" s="9"/>
      <c r="J84" s="6" t="s">
        <v>113</v>
      </c>
    </row>
    <row r="85" ht="15.75" customHeight="1">
      <c r="A85" s="9">
        <v>84.0</v>
      </c>
      <c r="B85" s="6" t="s">
        <v>43</v>
      </c>
      <c r="C85" s="11">
        <v>24543.0</v>
      </c>
      <c r="D85" s="9">
        <v>8.0</v>
      </c>
      <c r="E85" s="6" t="s">
        <v>25</v>
      </c>
      <c r="F85" s="13">
        <v>25050.0</v>
      </c>
      <c r="G85" s="13">
        <v>10950.0</v>
      </c>
      <c r="H85" s="9">
        <v>93.0</v>
      </c>
      <c r="I85" s="9">
        <v>8.0</v>
      </c>
      <c r="J85" s="6" t="s">
        <v>113</v>
      </c>
    </row>
    <row r="86" ht="15.75" customHeight="1">
      <c r="A86" s="9">
        <v>85.0</v>
      </c>
      <c r="B86" s="6" t="s">
        <v>20</v>
      </c>
      <c r="C86" s="11">
        <v>22745.0</v>
      </c>
      <c r="D86" s="9">
        <v>15.0</v>
      </c>
      <c r="E86" s="6" t="s">
        <v>25</v>
      </c>
      <c r="F86" s="13">
        <v>25950.0</v>
      </c>
      <c r="G86" s="13">
        <v>17100.0</v>
      </c>
      <c r="H86" s="9">
        <v>92.0</v>
      </c>
      <c r="I86" s="9">
        <v>42.0</v>
      </c>
      <c r="J86" s="6" t="s">
        <v>33</v>
      </c>
    </row>
    <row r="87" ht="15.75" customHeight="1">
      <c r="A87" s="9">
        <v>86.0</v>
      </c>
      <c r="B87" s="6" t="s">
        <v>20</v>
      </c>
      <c r="C87" s="11">
        <v>22518.0</v>
      </c>
      <c r="D87" s="9">
        <v>15.0</v>
      </c>
      <c r="E87" s="6" t="s">
        <v>25</v>
      </c>
      <c r="F87" s="13">
        <v>31650.0</v>
      </c>
      <c r="G87" s="13">
        <v>15750.0</v>
      </c>
      <c r="H87" s="9">
        <v>92.0</v>
      </c>
      <c r="I87" s="9">
        <v>64.0</v>
      </c>
      <c r="J87" s="6" t="s">
        <v>33</v>
      </c>
    </row>
    <row r="88" ht="15.75" customHeight="1">
      <c r="A88" s="9">
        <v>87.0</v>
      </c>
      <c r="B88" s="6" t="s">
        <v>20</v>
      </c>
      <c r="C88" s="11">
        <v>21843.0</v>
      </c>
      <c r="D88" s="9">
        <v>12.0</v>
      </c>
      <c r="E88" s="6" t="s">
        <v>25</v>
      </c>
      <c r="F88" s="13">
        <v>24150.0</v>
      </c>
      <c r="G88" s="13">
        <v>14100.0</v>
      </c>
      <c r="H88" s="9">
        <v>92.0</v>
      </c>
      <c r="I88" s="9">
        <v>130.0</v>
      </c>
      <c r="J88" s="6" t="s">
        <v>33</v>
      </c>
    </row>
    <row r="89" ht="15.75" customHeight="1">
      <c r="A89" s="9">
        <v>88.0</v>
      </c>
      <c r="B89" s="6" t="s">
        <v>20</v>
      </c>
      <c r="C89" s="11">
        <v>22687.0</v>
      </c>
      <c r="D89" s="9">
        <v>19.0</v>
      </c>
      <c r="E89" s="6" t="s">
        <v>26</v>
      </c>
      <c r="F89" s="13">
        <v>72500.0</v>
      </c>
      <c r="G89" s="13">
        <v>28740.0</v>
      </c>
      <c r="H89" s="9">
        <v>92.0</v>
      </c>
      <c r="I89" s="9">
        <v>10.0</v>
      </c>
      <c r="J89" s="6" t="s">
        <v>33</v>
      </c>
    </row>
    <row r="90" ht="15.75" customHeight="1">
      <c r="A90" s="9">
        <v>89.0</v>
      </c>
      <c r="B90" s="6" t="s">
        <v>20</v>
      </c>
      <c r="C90" s="11">
        <v>22456.0</v>
      </c>
      <c r="D90" s="9">
        <v>19.0</v>
      </c>
      <c r="E90" s="6" t="s">
        <v>26</v>
      </c>
      <c r="F90" s="13">
        <v>68750.0</v>
      </c>
      <c r="G90" s="13">
        <v>27480.0</v>
      </c>
      <c r="H90" s="9">
        <v>92.0</v>
      </c>
      <c r="I90" s="9">
        <v>8.0</v>
      </c>
      <c r="J90" s="6" t="s">
        <v>33</v>
      </c>
    </row>
    <row r="91" ht="15.75" customHeight="1">
      <c r="A91" s="9">
        <v>90.0</v>
      </c>
      <c r="B91" s="6" t="s">
        <v>43</v>
      </c>
      <c r="C91" s="11">
        <v>13938.0</v>
      </c>
      <c r="D91" s="9">
        <v>8.0</v>
      </c>
      <c r="E91" s="6" t="s">
        <v>25</v>
      </c>
      <c r="F91" s="13">
        <v>16200.0</v>
      </c>
      <c r="G91" s="13">
        <v>9750.0</v>
      </c>
      <c r="H91" s="9">
        <v>92.0</v>
      </c>
      <c r="I91" s="9"/>
      <c r="J91" s="6" t="s">
        <v>33</v>
      </c>
    </row>
    <row r="92" ht="15.75" customHeight="1">
      <c r="A92" s="9">
        <v>91.0</v>
      </c>
      <c r="B92" s="6" t="s">
        <v>43</v>
      </c>
      <c r="C92" s="11">
        <v>24780.0</v>
      </c>
      <c r="D92" s="9">
        <v>12.0</v>
      </c>
      <c r="E92" s="6" t="s">
        <v>25</v>
      </c>
      <c r="F92" s="13">
        <v>20100.0</v>
      </c>
      <c r="G92" s="13">
        <v>11250.0</v>
      </c>
      <c r="H92" s="9">
        <v>92.0</v>
      </c>
      <c r="I92" s="9">
        <v>24.0</v>
      </c>
      <c r="J92" s="6" t="s">
        <v>33</v>
      </c>
    </row>
    <row r="93" ht="15.75" customHeight="1">
      <c r="A93" s="9">
        <v>92.0</v>
      </c>
      <c r="B93" s="6" t="s">
        <v>43</v>
      </c>
      <c r="C93" s="11">
        <v>25014.0</v>
      </c>
      <c r="D93" s="9">
        <v>8.0</v>
      </c>
      <c r="E93" s="6" t="s">
        <v>25</v>
      </c>
      <c r="F93" s="13">
        <v>24000.0</v>
      </c>
      <c r="G93" s="13">
        <v>10950.0</v>
      </c>
      <c r="H93" s="9">
        <v>92.0</v>
      </c>
      <c r="I93" s="9">
        <v>6.0</v>
      </c>
      <c r="J93" s="6" t="s">
        <v>33</v>
      </c>
    </row>
    <row r="94" ht="15.75" customHeight="1">
      <c r="A94" s="9">
        <v>93.0</v>
      </c>
      <c r="B94" s="6" t="s">
        <v>43</v>
      </c>
      <c r="C94" s="11">
        <v>24902.0</v>
      </c>
      <c r="D94" s="9">
        <v>12.0</v>
      </c>
      <c r="E94" s="6" t="s">
        <v>25</v>
      </c>
      <c r="F94" s="13">
        <v>25950.0</v>
      </c>
      <c r="G94" s="13">
        <v>10950.0</v>
      </c>
      <c r="H94" s="9">
        <v>92.0</v>
      </c>
      <c r="I94" s="9"/>
      <c r="J94" s="6" t="s">
        <v>33</v>
      </c>
    </row>
    <row r="95" ht="15.75" customHeight="1">
      <c r="A95" s="9">
        <v>94.0</v>
      </c>
      <c r="B95" s="6" t="s">
        <v>43</v>
      </c>
      <c r="C95" s="11">
        <v>18479.0</v>
      </c>
      <c r="D95" s="9">
        <v>12.0</v>
      </c>
      <c r="E95" s="6" t="s">
        <v>25</v>
      </c>
      <c r="F95" s="13">
        <v>24600.0</v>
      </c>
      <c r="G95" s="13">
        <v>10050.0</v>
      </c>
      <c r="H95" s="9">
        <v>92.0</v>
      </c>
      <c r="I95" s="9">
        <v>44.0</v>
      </c>
      <c r="J95" s="6" t="s">
        <v>33</v>
      </c>
    </row>
    <row r="96" ht="15.75" customHeight="1">
      <c r="A96" s="9">
        <v>95.0</v>
      </c>
      <c r="B96" s="6" t="s">
        <v>43</v>
      </c>
      <c r="C96" s="11">
        <v>25058.0</v>
      </c>
      <c r="D96" s="9">
        <v>12.0</v>
      </c>
      <c r="E96" s="6" t="s">
        <v>25</v>
      </c>
      <c r="F96" s="13">
        <v>28500.0</v>
      </c>
      <c r="G96" s="13">
        <v>10500.0</v>
      </c>
      <c r="H96" s="9">
        <v>92.0</v>
      </c>
      <c r="I96" s="9">
        <v>6.0</v>
      </c>
      <c r="J96" s="6" t="s">
        <v>33</v>
      </c>
    </row>
    <row r="97" ht="15.75" customHeight="1">
      <c r="A97" s="9">
        <v>96.0</v>
      </c>
      <c r="B97" s="6" t="s">
        <v>20</v>
      </c>
      <c r="C97" s="11">
        <v>12329.0</v>
      </c>
      <c r="D97" s="9">
        <v>8.0</v>
      </c>
      <c r="E97" s="6" t="s">
        <v>133</v>
      </c>
      <c r="F97" s="13">
        <v>30750.0</v>
      </c>
      <c r="G97" s="13">
        <v>15000.0</v>
      </c>
      <c r="H97" s="9">
        <v>92.0</v>
      </c>
      <c r="I97" s="9">
        <v>432.0</v>
      </c>
      <c r="J97" s="6" t="s">
        <v>113</v>
      </c>
    </row>
    <row r="98" ht="15.75" customHeight="1">
      <c r="A98" s="9">
        <v>97.0</v>
      </c>
      <c r="B98" s="6" t="s">
        <v>20</v>
      </c>
      <c r="C98" s="11">
        <v>19377.0</v>
      </c>
      <c r="D98" s="9">
        <v>17.0</v>
      </c>
      <c r="E98" s="6" t="s">
        <v>25</v>
      </c>
      <c r="F98" s="13">
        <v>40200.0</v>
      </c>
      <c r="G98" s="13">
        <v>19500.0</v>
      </c>
      <c r="H98" s="9">
        <v>92.0</v>
      </c>
      <c r="I98" s="9">
        <v>168.0</v>
      </c>
      <c r="J98" s="6" t="s">
        <v>113</v>
      </c>
    </row>
    <row r="99" ht="15.75" customHeight="1">
      <c r="A99" s="9">
        <v>98.0</v>
      </c>
      <c r="B99" s="6" t="s">
        <v>20</v>
      </c>
      <c r="C99" s="11">
        <v>20592.0</v>
      </c>
      <c r="D99" s="9">
        <v>8.0</v>
      </c>
      <c r="E99" s="6" t="s">
        <v>133</v>
      </c>
      <c r="F99" s="13">
        <v>30000.0</v>
      </c>
      <c r="G99" s="13">
        <v>15000.0</v>
      </c>
      <c r="H99" s="9">
        <v>92.0</v>
      </c>
      <c r="I99" s="9">
        <v>144.0</v>
      </c>
      <c r="J99" s="6" t="s">
        <v>113</v>
      </c>
    </row>
    <row r="100" ht="15.75" customHeight="1">
      <c r="A100" s="9">
        <v>99.0</v>
      </c>
      <c r="B100" s="6" t="s">
        <v>43</v>
      </c>
      <c r="C100" s="11">
        <v>25026.0</v>
      </c>
      <c r="D100" s="9">
        <v>12.0</v>
      </c>
      <c r="E100" s="6" t="s">
        <v>25</v>
      </c>
      <c r="F100" s="13">
        <v>22050.0</v>
      </c>
      <c r="G100" s="13">
        <v>10950.0</v>
      </c>
      <c r="H100" s="9">
        <v>92.0</v>
      </c>
      <c r="I100" s="9">
        <v>5.0</v>
      </c>
      <c r="J100" s="6" t="s">
        <v>113</v>
      </c>
    </row>
    <row r="101" ht="15.75" customHeight="1">
      <c r="A101" s="9">
        <v>100.0</v>
      </c>
      <c r="B101" s="6" t="s">
        <v>20</v>
      </c>
      <c r="C101" s="11">
        <v>23309.0</v>
      </c>
      <c r="D101" s="9">
        <v>18.0</v>
      </c>
      <c r="E101" s="6" t="s">
        <v>26</v>
      </c>
      <c r="F101" s="13">
        <v>78250.0</v>
      </c>
      <c r="G101" s="13">
        <v>27480.0</v>
      </c>
      <c r="H101" s="9">
        <v>91.0</v>
      </c>
      <c r="I101" s="9">
        <v>47.0</v>
      </c>
      <c r="J101" s="6" t="s">
        <v>33</v>
      </c>
    </row>
    <row r="102" ht="15.75" customHeight="1">
      <c r="A102" s="9">
        <v>101.0</v>
      </c>
      <c r="B102" s="6" t="s">
        <v>20</v>
      </c>
      <c r="C102" s="11">
        <v>21989.0</v>
      </c>
      <c r="D102" s="9">
        <v>16.0</v>
      </c>
      <c r="E102" s="6" t="s">
        <v>26</v>
      </c>
      <c r="F102" s="13">
        <v>60625.0</v>
      </c>
      <c r="G102" s="13">
        <v>22500.0</v>
      </c>
      <c r="H102" s="9">
        <v>91.0</v>
      </c>
      <c r="I102" s="9">
        <v>44.0</v>
      </c>
      <c r="J102" s="6" t="s">
        <v>33</v>
      </c>
    </row>
    <row r="103" ht="15.75" customHeight="1">
      <c r="A103" s="9">
        <v>102.0</v>
      </c>
      <c r="B103" s="6" t="s">
        <v>20</v>
      </c>
      <c r="C103" s="11">
        <v>23098.0</v>
      </c>
      <c r="D103" s="9">
        <v>14.0</v>
      </c>
      <c r="E103" s="6" t="s">
        <v>25</v>
      </c>
      <c r="F103" s="13">
        <v>39900.0</v>
      </c>
      <c r="G103" s="13">
        <v>15750.0</v>
      </c>
      <c r="H103" s="9">
        <v>91.0</v>
      </c>
      <c r="I103" s="9">
        <v>59.0</v>
      </c>
      <c r="J103" s="6" t="s">
        <v>33</v>
      </c>
    </row>
    <row r="104" ht="15.75" customHeight="1">
      <c r="A104" s="9">
        <v>103.0</v>
      </c>
      <c r="B104" s="6" t="s">
        <v>20</v>
      </c>
      <c r="C104" s="11">
        <v>21626.0</v>
      </c>
      <c r="D104" s="9">
        <v>19.0</v>
      </c>
      <c r="E104" s="6" t="s">
        <v>26</v>
      </c>
      <c r="F104" s="13">
        <v>97000.0</v>
      </c>
      <c r="G104" s="13">
        <v>35010.0</v>
      </c>
      <c r="H104" s="9">
        <v>91.0</v>
      </c>
      <c r="I104" s="9">
        <v>68.0</v>
      </c>
      <c r="J104" s="6" t="s">
        <v>33</v>
      </c>
    </row>
    <row r="105" ht="15.75" customHeight="1">
      <c r="A105" s="9">
        <v>104.0</v>
      </c>
      <c r="B105" s="6" t="s">
        <v>20</v>
      </c>
      <c r="C105" s="11">
        <v>22955.0</v>
      </c>
      <c r="D105" s="9">
        <v>15.0</v>
      </c>
      <c r="E105" s="6" t="s">
        <v>25</v>
      </c>
      <c r="F105" s="13">
        <v>27450.0</v>
      </c>
      <c r="G105" s="13">
        <v>15750.0</v>
      </c>
      <c r="H105" s="9">
        <v>91.0</v>
      </c>
      <c r="I105" s="9">
        <v>48.0</v>
      </c>
      <c r="J105" s="6" t="s">
        <v>33</v>
      </c>
    </row>
    <row r="106" ht="15.75" customHeight="1">
      <c r="A106" s="9">
        <v>105.0</v>
      </c>
      <c r="B106" s="6" t="s">
        <v>20</v>
      </c>
      <c r="C106" s="11">
        <v>24173.0</v>
      </c>
      <c r="D106" s="9">
        <v>15.0</v>
      </c>
      <c r="E106" s="6" t="s">
        <v>25</v>
      </c>
      <c r="F106" s="13">
        <v>31650.0</v>
      </c>
      <c r="G106" s="13">
        <v>13500.0</v>
      </c>
      <c r="H106" s="9">
        <v>91.0</v>
      </c>
      <c r="I106" s="9">
        <v>18.0</v>
      </c>
      <c r="J106" s="6" t="s">
        <v>33</v>
      </c>
    </row>
    <row r="107" ht="15.75" customHeight="1">
      <c r="A107" s="9">
        <v>106.0</v>
      </c>
      <c r="B107" s="6" t="s">
        <v>20</v>
      </c>
      <c r="C107" s="11">
        <v>22862.0</v>
      </c>
      <c r="D107" s="9">
        <v>19.0</v>
      </c>
      <c r="E107" s="6" t="s">
        <v>26</v>
      </c>
      <c r="F107" s="13">
        <v>91250.0</v>
      </c>
      <c r="G107" s="13">
        <v>29490.0</v>
      </c>
      <c r="H107" s="9">
        <v>91.0</v>
      </c>
      <c r="I107" s="9">
        <v>23.0</v>
      </c>
      <c r="J107" s="6" t="s">
        <v>33</v>
      </c>
    </row>
    <row r="108" ht="15.75" customHeight="1">
      <c r="A108" s="9">
        <v>107.0</v>
      </c>
      <c r="B108" s="6" t="s">
        <v>43</v>
      </c>
      <c r="C108" s="11">
        <v>22144.0</v>
      </c>
      <c r="D108" s="9">
        <v>12.0</v>
      </c>
      <c r="E108" s="6" t="s">
        <v>25</v>
      </c>
      <c r="F108" s="13">
        <v>25200.0</v>
      </c>
      <c r="G108" s="13">
        <v>14400.0</v>
      </c>
      <c r="H108" s="9">
        <v>91.0</v>
      </c>
      <c r="I108" s="9">
        <v>83.0</v>
      </c>
      <c r="J108" s="6" t="s">
        <v>33</v>
      </c>
    </row>
    <row r="109" ht="15.75" customHeight="1">
      <c r="A109" s="9">
        <v>108.0</v>
      </c>
      <c r="B109" s="6" t="s">
        <v>43</v>
      </c>
      <c r="C109" s="11">
        <v>11155.0</v>
      </c>
      <c r="D109" s="9">
        <v>12.0</v>
      </c>
      <c r="E109" s="6" t="s">
        <v>25</v>
      </c>
      <c r="F109" s="13">
        <v>21000.0</v>
      </c>
      <c r="G109" s="13">
        <v>11550.0</v>
      </c>
      <c r="H109" s="9">
        <v>91.0</v>
      </c>
      <c r="I109" s="9">
        <v>108.0</v>
      </c>
      <c r="J109" s="6" t="s">
        <v>33</v>
      </c>
    </row>
    <row r="110" ht="15.75" customHeight="1">
      <c r="A110" s="9">
        <v>109.0</v>
      </c>
      <c r="B110" s="6" t="s">
        <v>20</v>
      </c>
      <c r="C110" s="11">
        <v>23325.0</v>
      </c>
      <c r="D110" s="9">
        <v>12.0</v>
      </c>
      <c r="E110" s="6" t="s">
        <v>25</v>
      </c>
      <c r="F110" s="13">
        <v>30450.0</v>
      </c>
      <c r="G110" s="13">
        <v>15000.0</v>
      </c>
      <c r="H110" s="9">
        <v>91.0</v>
      </c>
      <c r="I110" s="9">
        <v>49.0</v>
      </c>
      <c r="J110" s="6" t="s">
        <v>113</v>
      </c>
    </row>
    <row r="111" ht="15.75" customHeight="1">
      <c r="A111" s="9">
        <v>110.0</v>
      </c>
      <c r="B111" s="6" t="s">
        <v>20</v>
      </c>
      <c r="C111" s="11">
        <v>19296.0</v>
      </c>
      <c r="D111" s="9">
        <v>15.0</v>
      </c>
      <c r="E111" s="6" t="s">
        <v>25</v>
      </c>
      <c r="F111" s="13">
        <v>28350.0</v>
      </c>
      <c r="G111" s="13">
        <v>18000.0</v>
      </c>
      <c r="H111" s="9">
        <v>91.0</v>
      </c>
      <c r="I111" s="9">
        <v>151.0</v>
      </c>
      <c r="J111" s="6" t="s">
        <v>113</v>
      </c>
    </row>
    <row r="112" ht="15.75" customHeight="1">
      <c r="A112" s="9">
        <v>111.0</v>
      </c>
      <c r="B112" s="6" t="s">
        <v>20</v>
      </c>
      <c r="C112" s="11">
        <v>14942.0</v>
      </c>
      <c r="D112" s="9">
        <v>12.0</v>
      </c>
      <c r="E112" s="6" t="s">
        <v>133</v>
      </c>
      <c r="F112" s="13">
        <v>30750.0</v>
      </c>
      <c r="G112" s="13">
        <v>9000.0</v>
      </c>
      <c r="H112" s="9">
        <v>91.0</v>
      </c>
      <c r="I112" s="9">
        <v>314.0</v>
      </c>
      <c r="J112" s="6" t="s">
        <v>113</v>
      </c>
    </row>
    <row r="113" ht="15.75" customHeight="1">
      <c r="A113" s="9">
        <v>112.0</v>
      </c>
      <c r="B113" s="6" t="s">
        <v>20</v>
      </c>
      <c r="C113" s="11">
        <v>17705.0</v>
      </c>
      <c r="D113" s="9">
        <v>12.0</v>
      </c>
      <c r="E113" s="6" t="s">
        <v>133</v>
      </c>
      <c r="F113" s="13">
        <v>30750.0</v>
      </c>
      <c r="G113" s="13">
        <v>15000.0</v>
      </c>
      <c r="H113" s="9">
        <v>91.0</v>
      </c>
      <c r="I113" s="9">
        <v>240.0</v>
      </c>
      <c r="J113" s="6" t="s">
        <v>113</v>
      </c>
    </row>
    <row r="114" ht="15.75" customHeight="1">
      <c r="A114" s="9">
        <v>113.0</v>
      </c>
      <c r="B114" s="6" t="s">
        <v>20</v>
      </c>
      <c r="C114" s="11">
        <v>21829.0</v>
      </c>
      <c r="D114" s="9">
        <v>16.0</v>
      </c>
      <c r="E114" s="6" t="s">
        <v>26</v>
      </c>
      <c r="F114" s="13">
        <v>54875.0</v>
      </c>
      <c r="G114" s="13">
        <v>27480.0</v>
      </c>
      <c r="H114" s="9">
        <v>90.0</v>
      </c>
      <c r="I114" s="9">
        <v>68.0</v>
      </c>
      <c r="J114" s="6" t="s">
        <v>33</v>
      </c>
    </row>
    <row r="115" ht="15.75" customHeight="1">
      <c r="A115" s="9">
        <v>114.0</v>
      </c>
      <c r="B115" s="6" t="s">
        <v>20</v>
      </c>
      <c r="C115" s="11">
        <v>22518.0</v>
      </c>
      <c r="D115" s="9">
        <v>14.0</v>
      </c>
      <c r="E115" s="6" t="s">
        <v>25</v>
      </c>
      <c r="F115" s="13">
        <v>37800.0</v>
      </c>
      <c r="G115" s="13">
        <v>16500.0</v>
      </c>
      <c r="H115" s="9">
        <v>90.0</v>
      </c>
      <c r="I115" s="9">
        <v>60.0</v>
      </c>
      <c r="J115" s="6" t="s">
        <v>33</v>
      </c>
    </row>
    <row r="116" ht="15.75" customHeight="1">
      <c r="A116" s="9">
        <v>115.0</v>
      </c>
      <c r="B116" s="6" t="s">
        <v>20</v>
      </c>
      <c r="C116" s="11">
        <v>22413.0</v>
      </c>
      <c r="D116" s="9">
        <v>15.0</v>
      </c>
      <c r="E116" s="6" t="s">
        <v>25</v>
      </c>
      <c r="F116" s="13">
        <v>33450.0</v>
      </c>
      <c r="G116" s="13">
        <v>14100.0</v>
      </c>
      <c r="H116" s="9">
        <v>90.0</v>
      </c>
      <c r="I116" s="9">
        <v>85.0</v>
      </c>
      <c r="J116" s="6" t="s">
        <v>33</v>
      </c>
    </row>
    <row r="117" ht="15.75" customHeight="1">
      <c r="A117" s="9">
        <v>116.0</v>
      </c>
      <c r="B117" s="6" t="s">
        <v>20</v>
      </c>
      <c r="C117" s="11">
        <v>22806.0</v>
      </c>
      <c r="D117" s="9">
        <v>15.0</v>
      </c>
      <c r="E117" s="6" t="s">
        <v>25</v>
      </c>
      <c r="F117" s="13">
        <v>30300.0</v>
      </c>
      <c r="G117" s="13">
        <v>16500.0</v>
      </c>
      <c r="H117" s="9">
        <v>90.0</v>
      </c>
      <c r="I117" s="9">
        <v>16.0</v>
      </c>
      <c r="J117" s="6" t="s">
        <v>33</v>
      </c>
    </row>
    <row r="118" ht="15.75" customHeight="1">
      <c r="A118" s="9">
        <v>117.0</v>
      </c>
      <c r="B118" s="6" t="s">
        <v>43</v>
      </c>
      <c r="C118" s="11">
        <v>11702.0</v>
      </c>
      <c r="D118" s="9">
        <v>12.0</v>
      </c>
      <c r="E118" s="6" t="s">
        <v>25</v>
      </c>
      <c r="F118" s="13">
        <v>31500.0</v>
      </c>
      <c r="G118" s="13">
        <v>18750.0</v>
      </c>
      <c r="H118" s="9">
        <v>90.0</v>
      </c>
      <c r="I118" s="9">
        <v>205.0</v>
      </c>
      <c r="J118" s="6" t="s">
        <v>33</v>
      </c>
    </row>
    <row r="119" ht="15.75" customHeight="1">
      <c r="A119" s="9">
        <v>118.0</v>
      </c>
      <c r="B119" s="6" t="s">
        <v>43</v>
      </c>
      <c r="C119" s="11">
        <v>23440.0</v>
      </c>
      <c r="D119" s="9">
        <v>12.0</v>
      </c>
      <c r="E119" s="6" t="s">
        <v>25</v>
      </c>
      <c r="F119" s="13">
        <v>31650.0</v>
      </c>
      <c r="G119" s="13">
        <v>14250.0</v>
      </c>
      <c r="H119" s="9">
        <v>90.0</v>
      </c>
      <c r="I119" s="9">
        <v>48.0</v>
      </c>
      <c r="J119" s="6" t="s">
        <v>33</v>
      </c>
    </row>
    <row r="120" ht="15.75" customHeight="1">
      <c r="A120" s="9">
        <v>119.0</v>
      </c>
      <c r="B120" s="6" t="s">
        <v>43</v>
      </c>
      <c r="C120" s="11">
        <v>23215.0</v>
      </c>
      <c r="D120" s="9">
        <v>12.0</v>
      </c>
      <c r="E120" s="6" t="s">
        <v>25</v>
      </c>
      <c r="F120" s="13">
        <v>25200.0</v>
      </c>
      <c r="G120" s="13">
        <v>14100.0</v>
      </c>
      <c r="H120" s="9">
        <v>90.0</v>
      </c>
      <c r="I120" s="9">
        <v>55.0</v>
      </c>
      <c r="J120" s="6" t="s">
        <v>33</v>
      </c>
    </row>
    <row r="121" ht="15.75" customHeight="1">
      <c r="A121" s="9">
        <v>120.0</v>
      </c>
      <c r="B121" s="6" t="s">
        <v>43</v>
      </c>
      <c r="C121" s="11">
        <v>23693.0</v>
      </c>
      <c r="D121" s="9">
        <v>16.0</v>
      </c>
      <c r="E121" s="6" t="s">
        <v>26</v>
      </c>
      <c r="F121" s="13">
        <v>37800.0</v>
      </c>
      <c r="G121" s="13">
        <v>15750.0</v>
      </c>
      <c r="H121" s="9">
        <v>90.0</v>
      </c>
      <c r="I121" s="9">
        <v>7.0</v>
      </c>
      <c r="J121" s="6" t="s">
        <v>33</v>
      </c>
    </row>
    <row r="122" ht="15.75" customHeight="1">
      <c r="A122" s="9">
        <v>121.0</v>
      </c>
      <c r="B122" s="6" t="s">
        <v>43</v>
      </c>
      <c r="C122" s="11">
        <v>13368.0</v>
      </c>
      <c r="D122" s="9">
        <v>15.0</v>
      </c>
      <c r="E122" s="6" t="s">
        <v>25</v>
      </c>
      <c r="F122" s="13">
        <v>18750.0</v>
      </c>
      <c r="G122" s="13">
        <v>10500.0</v>
      </c>
      <c r="H122" s="9">
        <v>90.0</v>
      </c>
      <c r="I122" s="9">
        <v>54.0</v>
      </c>
      <c r="J122" s="6" t="s">
        <v>33</v>
      </c>
    </row>
    <row r="123" ht="15.75" customHeight="1">
      <c r="A123" s="9">
        <v>122.0</v>
      </c>
      <c r="B123" s="6" t="s">
        <v>43</v>
      </c>
      <c r="C123" s="11">
        <v>24011.0</v>
      </c>
      <c r="D123" s="9">
        <v>15.0</v>
      </c>
      <c r="E123" s="6" t="s">
        <v>25</v>
      </c>
      <c r="F123" s="13">
        <v>32550.0</v>
      </c>
      <c r="G123" s="13">
        <v>13500.0</v>
      </c>
      <c r="H123" s="9">
        <v>90.0</v>
      </c>
      <c r="I123" s="9">
        <v>22.0</v>
      </c>
      <c r="J123" s="6" t="s">
        <v>33</v>
      </c>
    </row>
    <row r="124" ht="15.75" customHeight="1">
      <c r="A124" s="9">
        <v>123.0</v>
      </c>
      <c r="B124" s="6" t="s">
        <v>43</v>
      </c>
      <c r="C124" s="11">
        <v>18012.0</v>
      </c>
      <c r="D124" s="9">
        <v>12.0</v>
      </c>
      <c r="E124" s="6" t="s">
        <v>25</v>
      </c>
      <c r="F124" s="13">
        <v>33300.0</v>
      </c>
      <c r="G124" s="13">
        <v>15000.0</v>
      </c>
      <c r="H124" s="9">
        <v>90.0</v>
      </c>
      <c r="I124" s="9">
        <v>3.0</v>
      </c>
      <c r="J124" s="6" t="s">
        <v>33</v>
      </c>
    </row>
    <row r="125" ht="15.75" customHeight="1">
      <c r="A125" s="9">
        <v>124.0</v>
      </c>
      <c r="B125" s="6" t="s">
        <v>43</v>
      </c>
      <c r="C125" s="11">
        <v>23160.0</v>
      </c>
      <c r="D125" s="9">
        <v>16.0</v>
      </c>
      <c r="E125" s="6" t="s">
        <v>25</v>
      </c>
      <c r="F125" s="13">
        <v>38550.0</v>
      </c>
      <c r="G125" s="13">
        <v>16500.0</v>
      </c>
      <c r="H125" s="9">
        <v>90.0</v>
      </c>
      <c r="I125" s="9"/>
      <c r="J125" s="6" t="s">
        <v>33</v>
      </c>
    </row>
    <row r="126" ht="15.75" customHeight="1">
      <c r="A126" s="9">
        <v>125.0</v>
      </c>
      <c r="B126" s="6" t="s">
        <v>20</v>
      </c>
      <c r="C126" s="11">
        <v>20673.0</v>
      </c>
      <c r="D126" s="9">
        <v>12.0</v>
      </c>
      <c r="E126" s="6" t="s">
        <v>25</v>
      </c>
      <c r="F126" s="13">
        <v>27450.0</v>
      </c>
      <c r="G126" s="13">
        <v>15000.0</v>
      </c>
      <c r="H126" s="9">
        <v>90.0</v>
      </c>
      <c r="I126" s="9">
        <v>173.0</v>
      </c>
      <c r="J126" s="6" t="s">
        <v>113</v>
      </c>
    </row>
    <row r="127" ht="15.75" customHeight="1">
      <c r="A127" s="9">
        <v>126.0</v>
      </c>
      <c r="B127" s="6" t="s">
        <v>20</v>
      </c>
      <c r="C127" s="11">
        <v>18649.0</v>
      </c>
      <c r="D127" s="9">
        <v>15.0</v>
      </c>
      <c r="E127" s="6" t="s">
        <v>133</v>
      </c>
      <c r="F127" s="13">
        <v>24300.0</v>
      </c>
      <c r="G127" s="13">
        <v>15000.0</v>
      </c>
      <c r="H127" s="9">
        <v>90.0</v>
      </c>
      <c r="I127" s="9">
        <v>191.0</v>
      </c>
      <c r="J127" s="6" t="s">
        <v>113</v>
      </c>
    </row>
    <row r="128" ht="15.75" customHeight="1">
      <c r="A128" s="9">
        <v>127.0</v>
      </c>
      <c r="B128" s="6" t="s">
        <v>20</v>
      </c>
      <c r="C128" s="11">
        <v>18507.0</v>
      </c>
      <c r="D128" s="9">
        <v>12.0</v>
      </c>
      <c r="E128" s="6" t="s">
        <v>133</v>
      </c>
      <c r="F128" s="13">
        <v>30750.0</v>
      </c>
      <c r="G128" s="13">
        <v>15000.0</v>
      </c>
      <c r="H128" s="9">
        <v>90.0</v>
      </c>
      <c r="I128" s="9">
        <v>209.0</v>
      </c>
      <c r="J128" s="6" t="s">
        <v>113</v>
      </c>
    </row>
    <row r="129" ht="15.75" customHeight="1">
      <c r="A129" s="9">
        <v>128.0</v>
      </c>
      <c r="B129" s="6" t="s">
        <v>43</v>
      </c>
      <c r="C129" s="11">
        <v>17008.0</v>
      </c>
      <c r="D129" s="9">
        <v>12.0</v>
      </c>
      <c r="E129" s="6" t="s">
        <v>25</v>
      </c>
      <c r="F129" s="13">
        <v>19650.0</v>
      </c>
      <c r="G129" s="13">
        <v>9750.0</v>
      </c>
      <c r="H129" s="9">
        <v>90.0</v>
      </c>
      <c r="I129" s="9">
        <v>229.0</v>
      </c>
      <c r="J129" s="6" t="s">
        <v>113</v>
      </c>
    </row>
    <row r="130" ht="15.75" customHeight="1">
      <c r="A130" s="9">
        <v>129.0</v>
      </c>
      <c r="B130" s="6" t="s">
        <v>20</v>
      </c>
      <c r="C130" s="11">
        <v>21749.0</v>
      </c>
      <c r="D130" s="9">
        <v>17.0</v>
      </c>
      <c r="E130" s="6" t="s">
        <v>26</v>
      </c>
      <c r="F130" s="13">
        <v>68750.0</v>
      </c>
      <c r="G130" s="13">
        <v>27510.0</v>
      </c>
      <c r="H130" s="9">
        <v>89.0</v>
      </c>
      <c r="I130" s="9">
        <v>38.0</v>
      </c>
      <c r="J130" s="6" t="s">
        <v>33</v>
      </c>
    </row>
    <row r="131" ht="15.75" customHeight="1">
      <c r="A131" s="9">
        <v>130.0</v>
      </c>
      <c r="B131" s="6" t="s">
        <v>20</v>
      </c>
      <c r="C131" s="11">
        <v>21434.0</v>
      </c>
      <c r="D131" s="9">
        <v>20.0</v>
      </c>
      <c r="E131" s="6" t="s">
        <v>26</v>
      </c>
      <c r="F131" s="13">
        <v>59375.0</v>
      </c>
      <c r="G131" s="13">
        <v>30000.0</v>
      </c>
      <c r="H131" s="9">
        <v>89.0</v>
      </c>
      <c r="I131" s="9">
        <v>6.0</v>
      </c>
      <c r="J131" s="6" t="s">
        <v>33</v>
      </c>
    </row>
    <row r="132" ht="15.75" customHeight="1">
      <c r="A132" s="9">
        <v>131.0</v>
      </c>
      <c r="B132" s="6" t="s">
        <v>20</v>
      </c>
      <c r="C132" s="11">
        <v>22685.0</v>
      </c>
      <c r="D132" s="9">
        <v>15.0</v>
      </c>
      <c r="E132" s="6" t="s">
        <v>25</v>
      </c>
      <c r="F132" s="13">
        <v>31500.0</v>
      </c>
      <c r="G132" s="13">
        <v>15750.0</v>
      </c>
      <c r="H132" s="9">
        <v>89.0</v>
      </c>
      <c r="I132" s="9">
        <v>22.0</v>
      </c>
      <c r="J132" s="6" t="s">
        <v>33</v>
      </c>
    </row>
    <row r="133" ht="15.75" customHeight="1">
      <c r="A133" s="9">
        <v>132.0</v>
      </c>
      <c r="B133" s="6" t="s">
        <v>20</v>
      </c>
      <c r="C133" s="11">
        <v>19496.0</v>
      </c>
      <c r="D133" s="9">
        <v>12.0</v>
      </c>
      <c r="E133" s="6" t="s">
        <v>25</v>
      </c>
      <c r="F133" s="13">
        <v>27300.0</v>
      </c>
      <c r="G133" s="13">
        <v>17250.0</v>
      </c>
      <c r="H133" s="9">
        <v>89.0</v>
      </c>
      <c r="I133" s="9">
        <v>175.0</v>
      </c>
      <c r="J133" s="6" t="s">
        <v>33</v>
      </c>
    </row>
    <row r="134" ht="15.75" customHeight="1">
      <c r="A134" s="9">
        <v>133.0</v>
      </c>
      <c r="B134" s="6" t="s">
        <v>20</v>
      </c>
      <c r="C134" s="11">
        <v>21805.0</v>
      </c>
      <c r="D134" s="9">
        <v>15.0</v>
      </c>
      <c r="E134" s="6" t="s">
        <v>25</v>
      </c>
      <c r="F134" s="13">
        <v>27000.0</v>
      </c>
      <c r="G134" s="13">
        <v>15750.0</v>
      </c>
      <c r="H134" s="9">
        <v>89.0</v>
      </c>
      <c r="I134" s="9">
        <v>87.0</v>
      </c>
      <c r="J134" s="6" t="s">
        <v>33</v>
      </c>
    </row>
    <row r="135" ht="15.75" customHeight="1">
      <c r="A135" s="9">
        <v>134.0</v>
      </c>
      <c r="B135" s="6" t="s">
        <v>43</v>
      </c>
      <c r="C135" s="11">
        <v>15290.0</v>
      </c>
      <c r="D135" s="9">
        <v>16.0</v>
      </c>
      <c r="E135" s="6" t="s">
        <v>26</v>
      </c>
      <c r="F135" s="13">
        <v>41550.0</v>
      </c>
      <c r="G135" s="13">
        <v>24990.0</v>
      </c>
      <c r="H135" s="9">
        <v>89.0</v>
      </c>
      <c r="I135" s="9">
        <v>285.0</v>
      </c>
      <c r="J135" s="6" t="s">
        <v>33</v>
      </c>
    </row>
    <row r="136" ht="15.75" customHeight="1">
      <c r="A136" s="9">
        <v>135.0</v>
      </c>
      <c r="B136" s="6" t="s">
        <v>43</v>
      </c>
      <c r="C136" s="11">
        <v>24980.0</v>
      </c>
      <c r="D136" s="9">
        <v>12.0</v>
      </c>
      <c r="E136" s="6" t="s">
        <v>25</v>
      </c>
      <c r="F136" s="13">
        <v>26250.0</v>
      </c>
      <c r="G136" s="13">
        <v>10950.0</v>
      </c>
      <c r="H136" s="9">
        <v>89.0</v>
      </c>
      <c r="I136" s="9"/>
      <c r="J136" s="6" t="s">
        <v>33</v>
      </c>
    </row>
    <row r="137" ht="15.75" customHeight="1">
      <c r="A137" s="9">
        <v>136.0</v>
      </c>
      <c r="B137" s="6" t="s">
        <v>20</v>
      </c>
      <c r="C137" s="11">
        <v>14482.0</v>
      </c>
      <c r="D137" s="9">
        <v>12.0</v>
      </c>
      <c r="E137" s="6" t="s">
        <v>25</v>
      </c>
      <c r="F137" s="13">
        <v>22200.0</v>
      </c>
      <c r="G137" s="13">
        <v>15000.0</v>
      </c>
      <c r="H137" s="9">
        <v>88.0</v>
      </c>
      <c r="I137" s="9">
        <v>324.0</v>
      </c>
      <c r="J137" s="6" t="s">
        <v>33</v>
      </c>
    </row>
    <row r="138" ht="15.75" customHeight="1">
      <c r="A138" s="9">
        <v>137.0</v>
      </c>
      <c r="B138" s="6" t="s">
        <v>20</v>
      </c>
      <c r="C138" s="11">
        <v>13708.0</v>
      </c>
      <c r="D138" s="9">
        <v>21.0</v>
      </c>
      <c r="E138" s="6" t="s">
        <v>26</v>
      </c>
      <c r="F138" s="13">
        <v>65000.0</v>
      </c>
      <c r="G138" s="13">
        <v>37500.0</v>
      </c>
      <c r="H138" s="9">
        <v>88.0</v>
      </c>
      <c r="I138" s="9">
        <v>264.0</v>
      </c>
      <c r="J138" s="6" t="s">
        <v>33</v>
      </c>
    </row>
    <row r="139" ht="15.75" customHeight="1">
      <c r="A139" s="9">
        <v>138.0</v>
      </c>
      <c r="B139" s="6" t="s">
        <v>20</v>
      </c>
      <c r="C139" s="11">
        <v>17176.0</v>
      </c>
      <c r="D139" s="9">
        <v>12.0</v>
      </c>
      <c r="E139" s="6" t="s">
        <v>25</v>
      </c>
      <c r="F139" s="13">
        <v>30900.0</v>
      </c>
      <c r="G139" s="13">
        <v>15000.0</v>
      </c>
      <c r="H139" s="9">
        <v>88.0</v>
      </c>
      <c r="I139" s="9">
        <v>252.0</v>
      </c>
      <c r="J139" s="6" t="s">
        <v>33</v>
      </c>
    </row>
    <row r="140" ht="15.75" customHeight="1">
      <c r="A140" s="9">
        <v>139.0</v>
      </c>
      <c r="B140" s="6" t="s">
        <v>43</v>
      </c>
      <c r="C140" s="11">
        <v>11492.0</v>
      </c>
      <c r="D140" s="9">
        <v>8.0</v>
      </c>
      <c r="E140" s="6" t="s">
        <v>25</v>
      </c>
      <c r="F140" s="13">
        <v>20100.0</v>
      </c>
      <c r="G140" s="13">
        <v>13200.0</v>
      </c>
      <c r="H140" s="9">
        <v>88.0</v>
      </c>
      <c r="I140" s="9">
        <v>90.0</v>
      </c>
      <c r="J140" s="6" t="s">
        <v>33</v>
      </c>
    </row>
    <row r="141" ht="15.75" customHeight="1">
      <c r="A141" s="9">
        <v>140.0</v>
      </c>
      <c r="B141" s="6" t="s">
        <v>43</v>
      </c>
      <c r="C141" s="11">
        <v>23837.0</v>
      </c>
      <c r="D141" s="9">
        <v>12.0</v>
      </c>
      <c r="E141" s="6" t="s">
        <v>25</v>
      </c>
      <c r="F141" s="13">
        <v>22350.0</v>
      </c>
      <c r="G141" s="13">
        <v>13500.0</v>
      </c>
      <c r="H141" s="9">
        <v>88.0</v>
      </c>
      <c r="I141" s="9">
        <v>26.0</v>
      </c>
      <c r="J141" s="6" t="s">
        <v>33</v>
      </c>
    </row>
    <row r="142" ht="15.75" customHeight="1">
      <c r="A142" s="9">
        <v>141.0</v>
      </c>
      <c r="B142" s="6" t="s">
        <v>43</v>
      </c>
      <c r="C142" s="11">
        <v>24272.0</v>
      </c>
      <c r="D142" s="9">
        <v>15.0</v>
      </c>
      <c r="E142" s="6" t="s">
        <v>25</v>
      </c>
      <c r="F142" s="13">
        <v>35550.0</v>
      </c>
      <c r="G142" s="13">
        <v>13350.0</v>
      </c>
      <c r="H142" s="9">
        <v>88.0</v>
      </c>
      <c r="I142" s="9">
        <v>32.0</v>
      </c>
      <c r="J142" s="6" t="s">
        <v>33</v>
      </c>
    </row>
    <row r="143" ht="15.75" customHeight="1">
      <c r="A143" s="9">
        <v>142.0</v>
      </c>
      <c r="B143" s="6" t="s">
        <v>43</v>
      </c>
      <c r="C143" s="11">
        <v>24424.0</v>
      </c>
      <c r="D143" s="9">
        <v>12.0</v>
      </c>
      <c r="E143" s="6" t="s">
        <v>25</v>
      </c>
      <c r="F143" s="13">
        <v>28500.0</v>
      </c>
      <c r="G143" s="13">
        <v>13950.0</v>
      </c>
      <c r="H143" s="9">
        <v>88.0</v>
      </c>
      <c r="I143" s="9">
        <v>34.0</v>
      </c>
      <c r="J143" s="6" t="s">
        <v>33</v>
      </c>
    </row>
    <row r="144" ht="15.75" customHeight="1">
      <c r="A144" s="9">
        <v>143.0</v>
      </c>
      <c r="B144" s="6" t="s">
        <v>43</v>
      </c>
      <c r="C144" s="11">
        <v>14481.0</v>
      </c>
      <c r="D144" s="9">
        <v>12.0</v>
      </c>
      <c r="E144" s="6" t="s">
        <v>25</v>
      </c>
      <c r="F144" s="13">
        <v>24450.0</v>
      </c>
      <c r="G144" s="13">
        <v>13200.0</v>
      </c>
      <c r="H144" s="9">
        <v>88.0</v>
      </c>
      <c r="I144" s="9">
        <v>107.0</v>
      </c>
      <c r="J144" s="6" t="s">
        <v>33</v>
      </c>
    </row>
    <row r="145" ht="15.75" customHeight="1">
      <c r="A145" s="9">
        <v>144.0</v>
      </c>
      <c r="B145" s="6" t="s">
        <v>43</v>
      </c>
      <c r="C145" s="11">
        <v>11563.0</v>
      </c>
      <c r="D145" s="9">
        <v>8.0</v>
      </c>
      <c r="E145" s="6" t="s">
        <v>25</v>
      </c>
      <c r="F145" s="13">
        <v>16650.0</v>
      </c>
      <c r="G145" s="13">
        <v>9750.0</v>
      </c>
      <c r="H145" s="9">
        <v>88.0</v>
      </c>
      <c r="I145" s="9">
        <v>412.0</v>
      </c>
      <c r="J145" s="6" t="s">
        <v>33</v>
      </c>
    </row>
    <row r="146" ht="15.75" customHeight="1">
      <c r="A146" s="9">
        <v>145.0</v>
      </c>
      <c r="B146" s="6" t="s">
        <v>20</v>
      </c>
      <c r="C146" s="11">
        <v>23391.0</v>
      </c>
      <c r="D146" s="9">
        <v>12.0</v>
      </c>
      <c r="E146" s="6" t="s">
        <v>25</v>
      </c>
      <c r="F146" s="13">
        <v>26700.0</v>
      </c>
      <c r="G146" s="13">
        <v>13500.0</v>
      </c>
      <c r="H146" s="9">
        <v>88.0</v>
      </c>
      <c r="I146" s="9">
        <v>38.0</v>
      </c>
      <c r="J146" s="6" t="s">
        <v>113</v>
      </c>
    </row>
    <row r="147" ht="15.75" customHeight="1">
      <c r="A147" s="9">
        <v>146.0</v>
      </c>
      <c r="B147" s="6" t="s">
        <v>20</v>
      </c>
      <c r="C147" s="11">
        <v>18630.0</v>
      </c>
      <c r="D147" s="9">
        <v>18.0</v>
      </c>
      <c r="E147" s="6" t="s">
        <v>25</v>
      </c>
      <c r="F147" s="13">
        <v>43950.0</v>
      </c>
      <c r="G147" s="13">
        <v>23250.0</v>
      </c>
      <c r="H147" s="9">
        <v>88.0</v>
      </c>
      <c r="I147" s="9">
        <v>182.0</v>
      </c>
      <c r="J147" s="6" t="s">
        <v>113</v>
      </c>
    </row>
    <row r="148" ht="15.75" customHeight="1">
      <c r="A148" s="9">
        <v>147.0</v>
      </c>
      <c r="B148" s="6" t="s">
        <v>20</v>
      </c>
      <c r="C148" s="11">
        <v>13404.0</v>
      </c>
      <c r="D148" s="9">
        <v>15.0</v>
      </c>
      <c r="E148" s="6" t="s">
        <v>25</v>
      </c>
      <c r="F148" s="13">
        <v>23700.0</v>
      </c>
      <c r="G148" s="13">
        <v>13500.0</v>
      </c>
      <c r="H148" s="9">
        <v>88.0</v>
      </c>
      <c r="I148" s="9">
        <v>359.0</v>
      </c>
      <c r="J148" s="6" t="s">
        <v>113</v>
      </c>
    </row>
    <row r="149" ht="15.75" customHeight="1">
      <c r="A149" s="9">
        <v>148.0</v>
      </c>
      <c r="B149" s="6" t="s">
        <v>43</v>
      </c>
      <c r="C149" s="11">
        <v>21828.0</v>
      </c>
      <c r="D149" s="9">
        <v>15.0</v>
      </c>
      <c r="E149" s="6" t="s">
        <v>25</v>
      </c>
      <c r="F149" s="13">
        <v>26550.0</v>
      </c>
      <c r="G149" s="13">
        <v>14250.0</v>
      </c>
      <c r="H149" s="9">
        <v>88.0</v>
      </c>
      <c r="I149" s="9">
        <v>61.0</v>
      </c>
      <c r="J149" s="6" t="s">
        <v>113</v>
      </c>
    </row>
    <row r="150" ht="15.75" customHeight="1">
      <c r="A150" s="9">
        <v>149.0</v>
      </c>
      <c r="B150" s="6" t="s">
        <v>20</v>
      </c>
      <c r="C150" s="11">
        <v>22825.0</v>
      </c>
      <c r="D150" s="9">
        <v>12.0</v>
      </c>
      <c r="E150" s="6" t="s">
        <v>25</v>
      </c>
      <c r="F150" s="13">
        <v>27600.0</v>
      </c>
      <c r="G150" s="13">
        <v>15000.0</v>
      </c>
      <c r="H150" s="9">
        <v>87.0</v>
      </c>
      <c r="I150" s="9">
        <v>75.0</v>
      </c>
      <c r="J150" s="6" t="s">
        <v>33</v>
      </c>
    </row>
    <row r="151" ht="15.75" customHeight="1">
      <c r="A151" s="9">
        <v>150.0</v>
      </c>
      <c r="B151" s="6" t="s">
        <v>20</v>
      </c>
      <c r="C151" s="11">
        <v>19788.0</v>
      </c>
      <c r="D151" s="9">
        <v>12.0</v>
      </c>
      <c r="E151" s="6" t="s">
        <v>25</v>
      </c>
      <c r="F151" s="13">
        <v>25800.0</v>
      </c>
      <c r="G151" s="13">
        <v>15000.0</v>
      </c>
      <c r="H151" s="9">
        <v>87.0</v>
      </c>
      <c r="I151" s="9">
        <v>143.0</v>
      </c>
      <c r="J151" s="6" t="s">
        <v>33</v>
      </c>
    </row>
    <row r="152" ht="15.75" customHeight="1">
      <c r="A152" s="9">
        <v>151.0</v>
      </c>
      <c r="B152" s="6" t="s">
        <v>20</v>
      </c>
      <c r="C152" s="11">
        <v>19952.0</v>
      </c>
      <c r="D152" s="9">
        <v>16.0</v>
      </c>
      <c r="E152" s="6" t="s">
        <v>26</v>
      </c>
      <c r="F152" s="13">
        <v>42300.0</v>
      </c>
      <c r="G152" s="13">
        <v>26250.0</v>
      </c>
      <c r="H152" s="9">
        <v>87.0</v>
      </c>
      <c r="I152" s="9">
        <v>126.0</v>
      </c>
      <c r="J152" s="6" t="s">
        <v>33</v>
      </c>
    </row>
    <row r="153" ht="15.75" customHeight="1">
      <c r="A153" s="9">
        <v>152.0</v>
      </c>
      <c r="B153" s="6" t="s">
        <v>20</v>
      </c>
      <c r="C153" s="11">
        <v>10716.0</v>
      </c>
      <c r="D153" s="9">
        <v>8.0</v>
      </c>
      <c r="E153" s="6" t="s">
        <v>133</v>
      </c>
      <c r="F153" s="13">
        <v>30750.0</v>
      </c>
      <c r="G153" s="13">
        <v>15000.0</v>
      </c>
      <c r="H153" s="9">
        <v>87.0</v>
      </c>
      <c r="I153" s="9">
        <v>451.0</v>
      </c>
      <c r="J153" s="6" t="s">
        <v>33</v>
      </c>
    </row>
    <row r="154" ht="15.75" customHeight="1">
      <c r="A154" s="9">
        <v>153.0</v>
      </c>
      <c r="B154" s="6" t="s">
        <v>43</v>
      </c>
      <c r="C154" s="11">
        <v>24605.0</v>
      </c>
      <c r="D154" s="9">
        <v>12.0</v>
      </c>
      <c r="E154" s="6" t="s">
        <v>25</v>
      </c>
      <c r="F154" s="13">
        <v>26700.0</v>
      </c>
      <c r="G154" s="13">
        <v>12900.0</v>
      </c>
      <c r="H154" s="9">
        <v>87.0</v>
      </c>
      <c r="I154" s="9">
        <v>18.0</v>
      </c>
      <c r="J154" s="6" t="s">
        <v>33</v>
      </c>
    </row>
    <row r="155" ht="15.75" customHeight="1">
      <c r="A155" s="9">
        <v>154.0</v>
      </c>
      <c r="B155" s="6" t="s">
        <v>43</v>
      </c>
      <c r="C155" s="11">
        <v>14769.0</v>
      </c>
      <c r="D155" s="9">
        <v>12.0</v>
      </c>
      <c r="E155" s="6" t="s">
        <v>25</v>
      </c>
      <c r="F155" s="13">
        <v>20850.0</v>
      </c>
      <c r="G155" s="13">
        <v>12000.0</v>
      </c>
      <c r="H155" s="9">
        <v>87.0</v>
      </c>
      <c r="I155" s="9">
        <v>163.0</v>
      </c>
      <c r="J155" s="6" t="s">
        <v>33</v>
      </c>
    </row>
    <row r="156" ht="15.75" customHeight="1">
      <c r="A156" s="9">
        <v>155.0</v>
      </c>
      <c r="B156" s="6" t="s">
        <v>20</v>
      </c>
      <c r="C156" s="11">
        <v>23076.0</v>
      </c>
      <c r="D156" s="9">
        <v>15.0</v>
      </c>
      <c r="E156" s="6" t="s">
        <v>25</v>
      </c>
      <c r="F156" s="13">
        <v>35250.0</v>
      </c>
      <c r="G156" s="13">
        <v>15000.0</v>
      </c>
      <c r="H156" s="9">
        <v>87.0</v>
      </c>
      <c r="I156" s="9">
        <v>54.0</v>
      </c>
      <c r="J156" s="6" t="s">
        <v>113</v>
      </c>
    </row>
    <row r="157" ht="15.75" customHeight="1">
      <c r="A157" s="9">
        <v>156.0</v>
      </c>
      <c r="B157" s="6" t="s">
        <v>20</v>
      </c>
      <c r="C157" s="11">
        <v>23023.0</v>
      </c>
      <c r="D157" s="9">
        <v>15.0</v>
      </c>
      <c r="E157" s="6" t="s">
        <v>25</v>
      </c>
      <c r="F157" s="13">
        <v>26700.0</v>
      </c>
      <c r="G157" s="13">
        <v>15000.0</v>
      </c>
      <c r="H157" s="9">
        <v>87.0</v>
      </c>
      <c r="I157" s="9">
        <v>56.0</v>
      </c>
      <c r="J157" s="6" t="s">
        <v>113</v>
      </c>
    </row>
    <row r="158" ht="15.75" customHeight="1">
      <c r="A158" s="9">
        <v>157.0</v>
      </c>
      <c r="B158" s="6" t="s">
        <v>43</v>
      </c>
      <c r="C158" s="11">
        <v>24655.0</v>
      </c>
      <c r="D158" s="9">
        <v>12.0</v>
      </c>
      <c r="E158" s="6" t="s">
        <v>25</v>
      </c>
      <c r="F158" s="13">
        <v>26550.0</v>
      </c>
      <c r="G158" s="13">
        <v>13050.0</v>
      </c>
      <c r="H158" s="9">
        <v>87.0</v>
      </c>
      <c r="I158" s="9">
        <v>11.0</v>
      </c>
      <c r="J158" s="6" t="s">
        <v>113</v>
      </c>
    </row>
    <row r="159" ht="15.75" customHeight="1">
      <c r="A159" s="9">
        <v>158.0</v>
      </c>
      <c r="B159" s="6" t="s">
        <v>43</v>
      </c>
      <c r="C159" s="11">
        <v>23640.0</v>
      </c>
      <c r="D159" s="9">
        <v>12.0</v>
      </c>
      <c r="E159" s="6" t="s">
        <v>25</v>
      </c>
      <c r="F159" s="13">
        <v>27750.0</v>
      </c>
      <c r="G159" s="13">
        <v>12000.0</v>
      </c>
      <c r="H159" s="9">
        <v>87.0</v>
      </c>
      <c r="I159" s="9">
        <v>11.0</v>
      </c>
      <c r="J159" s="6" t="s">
        <v>113</v>
      </c>
    </row>
    <row r="160" ht="15.75" customHeight="1">
      <c r="A160" s="9">
        <v>159.0</v>
      </c>
      <c r="B160" s="6" t="s">
        <v>43</v>
      </c>
      <c r="C160" s="11">
        <v>18641.0</v>
      </c>
      <c r="D160" s="9">
        <v>16.0</v>
      </c>
      <c r="E160" s="6" t="s">
        <v>25</v>
      </c>
      <c r="F160" s="13">
        <v>25050.0</v>
      </c>
      <c r="G160" s="13">
        <v>12750.0</v>
      </c>
      <c r="H160" s="9">
        <v>87.0</v>
      </c>
      <c r="I160" s="9">
        <v>123.0</v>
      </c>
      <c r="J160" s="6" t="s">
        <v>113</v>
      </c>
    </row>
    <row r="161" ht="15.75" customHeight="1">
      <c r="A161" s="9">
        <v>160.0</v>
      </c>
      <c r="B161" s="6" t="s">
        <v>20</v>
      </c>
      <c r="C161" s="11">
        <v>18867.0</v>
      </c>
      <c r="D161" s="9">
        <v>16.0</v>
      </c>
      <c r="E161" s="6" t="s">
        <v>26</v>
      </c>
      <c r="F161" s="13">
        <v>66000.0</v>
      </c>
      <c r="G161" s="13">
        <v>47490.0</v>
      </c>
      <c r="H161" s="9">
        <v>86.0</v>
      </c>
      <c r="I161" s="9">
        <v>150.0</v>
      </c>
      <c r="J161" s="6" t="s">
        <v>33</v>
      </c>
    </row>
    <row r="162" ht="15.75" customHeight="1">
      <c r="A162" s="9">
        <v>161.0</v>
      </c>
      <c r="B162" s="6" t="s">
        <v>20</v>
      </c>
      <c r="C162" s="11">
        <v>23053.0</v>
      </c>
      <c r="D162" s="9">
        <v>16.0</v>
      </c>
      <c r="E162" s="6" t="s">
        <v>25</v>
      </c>
      <c r="F162" s="13">
        <v>52650.0</v>
      </c>
      <c r="G162" s="13">
        <v>19500.0</v>
      </c>
      <c r="H162" s="9">
        <v>86.0</v>
      </c>
      <c r="I162" s="9">
        <v>20.0</v>
      </c>
      <c r="J162" s="6" t="s">
        <v>33</v>
      </c>
    </row>
    <row r="163" ht="15.75" customHeight="1">
      <c r="A163" s="9">
        <v>162.0</v>
      </c>
      <c r="B163" s="6" t="s">
        <v>20</v>
      </c>
      <c r="C163" s="11">
        <v>22426.0</v>
      </c>
      <c r="D163" s="9">
        <v>16.0</v>
      </c>
      <c r="E163" s="6" t="s">
        <v>26</v>
      </c>
      <c r="F163" s="13">
        <v>45625.0</v>
      </c>
      <c r="G163" s="13">
        <v>23250.0</v>
      </c>
      <c r="H163" s="9">
        <v>86.0</v>
      </c>
      <c r="I163" s="9">
        <v>60.0</v>
      </c>
      <c r="J163" s="6" t="s">
        <v>33</v>
      </c>
    </row>
    <row r="164" ht="15.75" customHeight="1">
      <c r="A164" s="9">
        <v>163.0</v>
      </c>
      <c r="B164" s="6" t="s">
        <v>20</v>
      </c>
      <c r="C164" s="11">
        <v>24056.0</v>
      </c>
      <c r="D164" s="9">
        <v>15.0</v>
      </c>
      <c r="E164" s="6" t="s">
        <v>25</v>
      </c>
      <c r="F164" s="13">
        <v>30900.0</v>
      </c>
      <c r="G164" s="13">
        <v>15000.0</v>
      </c>
      <c r="H164" s="9">
        <v>86.0</v>
      </c>
      <c r="I164" s="9">
        <v>25.0</v>
      </c>
      <c r="J164" s="6" t="s">
        <v>33</v>
      </c>
    </row>
    <row r="165" ht="15.75" customHeight="1">
      <c r="A165" s="9">
        <v>164.0</v>
      </c>
      <c r="B165" s="6" t="s">
        <v>43</v>
      </c>
      <c r="C165" s="11">
        <v>23967.0</v>
      </c>
      <c r="D165" s="9">
        <v>15.0</v>
      </c>
      <c r="E165" s="6" t="s">
        <v>25</v>
      </c>
      <c r="F165" s="13">
        <v>29400.0</v>
      </c>
      <c r="G165" s="13">
        <v>16500.0</v>
      </c>
      <c r="H165" s="9">
        <v>86.0</v>
      </c>
      <c r="I165" s="9">
        <v>24.0</v>
      </c>
      <c r="J165" s="6" t="s">
        <v>33</v>
      </c>
    </row>
    <row r="166" ht="15.75" customHeight="1">
      <c r="A166" s="9">
        <v>165.0</v>
      </c>
      <c r="B166" s="6" t="s">
        <v>43</v>
      </c>
      <c r="C166" s="11">
        <v>24226.0</v>
      </c>
      <c r="D166" s="9">
        <v>15.0</v>
      </c>
      <c r="E166" s="6" t="s">
        <v>25</v>
      </c>
      <c r="F166" s="13">
        <v>33300.0</v>
      </c>
      <c r="G166" s="13">
        <v>13500.0</v>
      </c>
      <c r="H166" s="9">
        <v>86.0</v>
      </c>
      <c r="I166" s="9">
        <v>24.0</v>
      </c>
      <c r="J166" s="6" t="s">
        <v>33</v>
      </c>
    </row>
    <row r="167" ht="15.75" customHeight="1">
      <c r="A167" s="9">
        <v>166.0</v>
      </c>
      <c r="B167" s="6" t="s">
        <v>43</v>
      </c>
      <c r="C167" s="11">
        <v>15534.0</v>
      </c>
      <c r="D167" s="9">
        <v>12.0</v>
      </c>
      <c r="E167" s="6" t="s">
        <v>25</v>
      </c>
      <c r="F167" s="13">
        <v>21900.0</v>
      </c>
      <c r="G167" s="13">
        <v>9750.0</v>
      </c>
      <c r="H167" s="9">
        <v>86.0</v>
      </c>
      <c r="I167" s="9">
        <v>156.0</v>
      </c>
      <c r="J167" s="6" t="s">
        <v>33</v>
      </c>
    </row>
    <row r="168" ht="15.75" customHeight="1">
      <c r="A168" s="9">
        <v>167.0</v>
      </c>
      <c r="B168" s="6" t="s">
        <v>43</v>
      </c>
      <c r="C168" s="11">
        <v>11927.0</v>
      </c>
      <c r="D168" s="9">
        <v>12.0</v>
      </c>
      <c r="E168" s="6" t="s">
        <v>25</v>
      </c>
      <c r="F168" s="13">
        <v>18150.0</v>
      </c>
      <c r="G168" s="13">
        <v>9750.0</v>
      </c>
      <c r="H168" s="9">
        <v>86.0</v>
      </c>
      <c r="I168" s="9">
        <v>72.0</v>
      </c>
      <c r="J168" s="6" t="s">
        <v>33</v>
      </c>
    </row>
    <row r="169" ht="15.75" customHeight="1">
      <c r="A169" s="9">
        <v>168.0</v>
      </c>
      <c r="B169" s="6" t="s">
        <v>43</v>
      </c>
      <c r="C169" s="11">
        <v>22759.0</v>
      </c>
      <c r="D169" s="9">
        <v>16.0</v>
      </c>
      <c r="E169" s="6" t="s">
        <v>26</v>
      </c>
      <c r="F169" s="13">
        <v>46875.0</v>
      </c>
      <c r="G169" s="13">
        <v>17250.0</v>
      </c>
      <c r="H169" s="9">
        <v>86.0</v>
      </c>
      <c r="I169" s="9">
        <v>19.0</v>
      </c>
      <c r="J169" s="6" t="s">
        <v>33</v>
      </c>
    </row>
    <row r="170" ht="15.75" customHeight="1">
      <c r="A170" s="9">
        <v>169.0</v>
      </c>
      <c r="B170" s="6" t="s">
        <v>20</v>
      </c>
      <c r="C170" s="11">
        <v>23885.0</v>
      </c>
      <c r="D170" s="9">
        <v>12.0</v>
      </c>
      <c r="E170" s="6" t="s">
        <v>25</v>
      </c>
      <c r="F170" s="13">
        <v>25500.0</v>
      </c>
      <c r="G170" s="13">
        <v>14400.0</v>
      </c>
      <c r="H170" s="9">
        <v>86.0</v>
      </c>
      <c r="I170" s="9">
        <v>37.0</v>
      </c>
      <c r="J170" s="6" t="s">
        <v>113</v>
      </c>
    </row>
    <row r="171" ht="15.75" customHeight="1">
      <c r="A171" s="9">
        <v>170.0</v>
      </c>
      <c r="B171" s="6" t="s">
        <v>20</v>
      </c>
      <c r="C171" s="11">
        <v>23541.0</v>
      </c>
      <c r="D171" s="9">
        <v>12.0</v>
      </c>
      <c r="E171" s="6" t="s">
        <v>25</v>
      </c>
      <c r="F171" s="13">
        <v>26550.0</v>
      </c>
      <c r="G171" s="13">
        <v>15000.0</v>
      </c>
      <c r="H171" s="9">
        <v>86.0</v>
      </c>
      <c r="I171" s="9">
        <v>38.0</v>
      </c>
      <c r="J171" s="6" t="s">
        <v>113</v>
      </c>
    </row>
    <row r="172" ht="15.75" customHeight="1">
      <c r="A172" s="9">
        <v>171.0</v>
      </c>
      <c r="B172" s="6" t="s">
        <v>20</v>
      </c>
      <c r="C172" s="11">
        <v>10979.0</v>
      </c>
      <c r="D172" s="9">
        <v>12.0</v>
      </c>
      <c r="E172" s="6" t="s">
        <v>25</v>
      </c>
      <c r="F172" s="13">
        <v>26700.0</v>
      </c>
      <c r="G172" s="13">
        <v>13500.0</v>
      </c>
      <c r="H172" s="9">
        <v>86.0</v>
      </c>
      <c r="I172" s="9">
        <v>367.0</v>
      </c>
      <c r="J172" s="6" t="s">
        <v>113</v>
      </c>
    </row>
    <row r="173" ht="15.75" customHeight="1">
      <c r="A173" s="9">
        <v>172.0</v>
      </c>
      <c r="B173" s="6" t="s">
        <v>43</v>
      </c>
      <c r="C173" s="11">
        <v>19523.0</v>
      </c>
      <c r="D173" s="9">
        <v>15.0</v>
      </c>
      <c r="E173" s="6" t="s">
        <v>25</v>
      </c>
      <c r="F173" s="13">
        <v>29850.0</v>
      </c>
      <c r="G173" s="13">
        <v>15000.0</v>
      </c>
      <c r="H173" s="9">
        <v>86.0</v>
      </c>
      <c r="I173" s="9">
        <v>79.0</v>
      </c>
      <c r="J173" s="6" t="s">
        <v>113</v>
      </c>
    </row>
    <row r="174" ht="15.75" customHeight="1">
      <c r="A174" s="9">
        <v>173.0</v>
      </c>
      <c r="B174" s="6" t="s">
        <v>20</v>
      </c>
      <c r="C174" s="11">
        <v>18278.0</v>
      </c>
      <c r="D174" s="9">
        <v>20.0</v>
      </c>
      <c r="E174" s="6" t="s">
        <v>26</v>
      </c>
      <c r="F174" s="13">
        <v>69250.0</v>
      </c>
      <c r="G174" s="13">
        <v>42480.0</v>
      </c>
      <c r="H174" s="9">
        <v>85.0</v>
      </c>
      <c r="I174" s="9">
        <v>134.0</v>
      </c>
      <c r="J174" s="6" t="s">
        <v>33</v>
      </c>
    </row>
    <row r="175" ht="15.75" customHeight="1">
      <c r="A175" s="9">
        <v>174.0</v>
      </c>
      <c r="B175" s="6" t="s">
        <v>20</v>
      </c>
      <c r="C175" s="11">
        <v>12791.0</v>
      </c>
      <c r="D175" s="9">
        <v>8.0</v>
      </c>
      <c r="E175" s="6" t="s">
        <v>133</v>
      </c>
      <c r="F175" s="13">
        <v>31950.0</v>
      </c>
      <c r="G175" s="13">
        <v>15000.0</v>
      </c>
      <c r="H175" s="9">
        <v>85.0</v>
      </c>
      <c r="I175" s="9">
        <v>438.0</v>
      </c>
      <c r="J175" s="6" t="s">
        <v>33</v>
      </c>
    </row>
    <row r="176" ht="15.75" customHeight="1">
      <c r="A176" s="9">
        <v>175.0</v>
      </c>
      <c r="B176" s="6" t="s">
        <v>20</v>
      </c>
      <c r="C176" s="11">
        <v>13888.0</v>
      </c>
      <c r="D176" s="9">
        <v>8.0</v>
      </c>
      <c r="E176" s="6" t="s">
        <v>25</v>
      </c>
      <c r="F176" s="13">
        <v>26250.0</v>
      </c>
      <c r="G176" s="13">
        <v>15600.0</v>
      </c>
      <c r="H176" s="9">
        <v>85.0</v>
      </c>
      <c r="I176" s="9">
        <v>171.0</v>
      </c>
      <c r="J176" s="6" t="s">
        <v>33</v>
      </c>
    </row>
    <row r="177" ht="15.75" customHeight="1">
      <c r="A177" s="9">
        <v>176.0</v>
      </c>
      <c r="B177" s="6" t="s">
        <v>43</v>
      </c>
      <c r="C177" s="11">
        <v>22924.0</v>
      </c>
      <c r="D177" s="9">
        <v>16.0</v>
      </c>
      <c r="E177" s="6" t="s">
        <v>25</v>
      </c>
      <c r="F177" s="13">
        <v>35700.0</v>
      </c>
      <c r="G177" s="13">
        <v>17250.0</v>
      </c>
      <c r="H177" s="9">
        <v>85.0</v>
      </c>
      <c r="I177" s="9">
        <v>19.0</v>
      </c>
      <c r="J177" s="6" t="s">
        <v>33</v>
      </c>
    </row>
    <row r="178" ht="15.75" customHeight="1">
      <c r="A178" s="9">
        <v>177.0</v>
      </c>
      <c r="B178" s="6" t="s">
        <v>43</v>
      </c>
      <c r="C178" s="11">
        <v>22869.0</v>
      </c>
      <c r="D178" s="9">
        <v>12.0</v>
      </c>
      <c r="E178" s="6" t="s">
        <v>25</v>
      </c>
      <c r="F178" s="13">
        <v>28500.0</v>
      </c>
      <c r="G178" s="13">
        <v>16500.0</v>
      </c>
      <c r="H178" s="9">
        <v>85.0</v>
      </c>
      <c r="I178" s="9">
        <v>69.0</v>
      </c>
      <c r="J178" s="6" t="s">
        <v>33</v>
      </c>
    </row>
    <row r="179" ht="15.75" customHeight="1">
      <c r="A179" s="9">
        <v>178.0</v>
      </c>
      <c r="B179" s="6" t="s">
        <v>43</v>
      </c>
      <c r="C179" s="11">
        <v>13897.0</v>
      </c>
      <c r="D179" s="9">
        <v>12.0</v>
      </c>
      <c r="E179" s="6" t="s">
        <v>25</v>
      </c>
      <c r="F179" s="13">
        <v>17100.0</v>
      </c>
      <c r="G179" s="13">
        <v>10200.0</v>
      </c>
      <c r="H179" s="9">
        <v>85.0</v>
      </c>
      <c r="I179" s="9">
        <v>72.0</v>
      </c>
      <c r="J179" s="6" t="s">
        <v>33</v>
      </c>
    </row>
    <row r="180" ht="15.75" customHeight="1">
      <c r="A180" s="9">
        <v>179.0</v>
      </c>
      <c r="B180" s="6" t="s">
        <v>20</v>
      </c>
      <c r="C180" s="11">
        <v>23761.0</v>
      </c>
      <c r="D180" s="9">
        <v>12.0</v>
      </c>
      <c r="E180" s="6" t="s">
        <v>25</v>
      </c>
      <c r="F180" s="13">
        <v>25200.0</v>
      </c>
      <c r="G180" s="13">
        <v>13050.0</v>
      </c>
      <c r="H180" s="9">
        <v>85.0</v>
      </c>
      <c r="I180" s="9">
        <v>29.0</v>
      </c>
      <c r="J180" s="6" t="s">
        <v>113</v>
      </c>
    </row>
    <row r="181" ht="15.75" customHeight="1">
      <c r="A181" s="9">
        <v>180.0</v>
      </c>
      <c r="B181" s="6" t="s">
        <v>43</v>
      </c>
      <c r="C181" s="11">
        <v>21938.0</v>
      </c>
      <c r="D181" s="9">
        <v>12.0</v>
      </c>
      <c r="E181" s="6" t="s">
        <v>25</v>
      </c>
      <c r="F181" s="13">
        <v>24000.0</v>
      </c>
      <c r="G181" s="13">
        <v>12750.0</v>
      </c>
      <c r="H181" s="9">
        <v>85.0</v>
      </c>
      <c r="I181" s="9">
        <v>59.0</v>
      </c>
      <c r="J181" s="6" t="s">
        <v>113</v>
      </c>
    </row>
    <row r="182" ht="15.75" customHeight="1">
      <c r="A182" s="9">
        <v>181.0</v>
      </c>
      <c r="B182" s="6" t="s">
        <v>43</v>
      </c>
      <c r="C182" s="11">
        <v>14249.0</v>
      </c>
      <c r="D182" s="9">
        <v>12.0</v>
      </c>
      <c r="E182" s="6" t="s">
        <v>25</v>
      </c>
      <c r="F182" s="13">
        <v>27450.0</v>
      </c>
      <c r="G182" s="13">
        <v>10200.0</v>
      </c>
      <c r="H182" s="9">
        <v>85.0</v>
      </c>
      <c r="I182" s="9">
        <v>101.0</v>
      </c>
      <c r="J182" s="6" t="s">
        <v>113</v>
      </c>
    </row>
    <row r="183" ht="15.75" customHeight="1">
      <c r="A183" s="9">
        <v>182.0</v>
      </c>
      <c r="B183" s="6" t="s">
        <v>43</v>
      </c>
      <c r="C183" s="11">
        <v>15773.0</v>
      </c>
      <c r="D183" s="9">
        <v>12.0</v>
      </c>
      <c r="E183" s="6" t="s">
        <v>25</v>
      </c>
      <c r="F183" s="13">
        <v>18450.0</v>
      </c>
      <c r="G183" s="13">
        <v>10200.0</v>
      </c>
      <c r="H183" s="9">
        <v>85.0</v>
      </c>
      <c r="I183" s="9">
        <v>228.0</v>
      </c>
      <c r="J183" s="6" t="s">
        <v>113</v>
      </c>
    </row>
    <row r="184" ht="15.75" customHeight="1">
      <c r="A184" s="9">
        <v>183.0</v>
      </c>
      <c r="B184" s="6" t="s">
        <v>20</v>
      </c>
      <c r="C184" s="11">
        <v>21976.0</v>
      </c>
      <c r="D184" s="9">
        <v>15.0</v>
      </c>
      <c r="E184" s="6" t="s">
        <v>25</v>
      </c>
      <c r="F184" s="13">
        <v>39300.0</v>
      </c>
      <c r="G184" s="13">
        <v>15750.0</v>
      </c>
      <c r="H184" s="9">
        <v>84.0</v>
      </c>
      <c r="I184" s="9">
        <v>72.0</v>
      </c>
      <c r="J184" s="6" t="s">
        <v>33</v>
      </c>
    </row>
    <row r="185" ht="15.75" customHeight="1">
      <c r="A185" s="9">
        <v>184.0</v>
      </c>
      <c r="B185" s="6" t="s">
        <v>20</v>
      </c>
      <c r="C185" s="11">
        <v>23686.0</v>
      </c>
      <c r="D185" s="9">
        <v>15.0</v>
      </c>
      <c r="E185" s="6" t="s">
        <v>25</v>
      </c>
      <c r="F185" s="13">
        <v>38850.0</v>
      </c>
      <c r="G185" s="13">
        <v>15000.0</v>
      </c>
      <c r="H185" s="9">
        <v>84.0</v>
      </c>
      <c r="I185" s="9">
        <v>53.0</v>
      </c>
      <c r="J185" s="6" t="s">
        <v>33</v>
      </c>
    </row>
    <row r="186" ht="15.75" customHeight="1">
      <c r="A186" s="9">
        <v>185.0</v>
      </c>
      <c r="B186" s="6" t="s">
        <v>20</v>
      </c>
      <c r="C186" s="11">
        <v>11198.0</v>
      </c>
      <c r="D186" s="9">
        <v>8.0</v>
      </c>
      <c r="E186" s="6" t="s">
        <v>133</v>
      </c>
      <c r="F186" s="13">
        <v>30750.0</v>
      </c>
      <c r="G186" s="13">
        <v>15000.0</v>
      </c>
      <c r="H186" s="9">
        <v>84.0</v>
      </c>
      <c r="I186" s="9">
        <v>380.0</v>
      </c>
      <c r="J186" s="6" t="s">
        <v>33</v>
      </c>
    </row>
    <row r="187" ht="15.75" customHeight="1">
      <c r="A187" s="9">
        <v>186.0</v>
      </c>
      <c r="B187" s="6" t="s">
        <v>20</v>
      </c>
      <c r="C187" s="11">
        <v>23564.0</v>
      </c>
      <c r="D187" s="9">
        <v>15.0</v>
      </c>
      <c r="E187" s="6" t="s">
        <v>25</v>
      </c>
      <c r="F187" s="13">
        <v>37500.0</v>
      </c>
      <c r="G187" s="13">
        <v>20400.0</v>
      </c>
      <c r="H187" s="9">
        <v>84.0</v>
      </c>
      <c r="I187" s="9">
        <v>33.0</v>
      </c>
      <c r="J187" s="6" t="s">
        <v>33</v>
      </c>
    </row>
    <row r="188" ht="15.75" customHeight="1">
      <c r="A188" s="9">
        <v>187.0</v>
      </c>
      <c r="B188" s="6" t="s">
        <v>20</v>
      </c>
      <c r="C188" s="11">
        <v>23221.0</v>
      </c>
      <c r="D188" s="9">
        <v>16.0</v>
      </c>
      <c r="E188" s="6" t="s">
        <v>26</v>
      </c>
      <c r="F188" s="13">
        <v>58750.0</v>
      </c>
      <c r="G188" s="13">
        <v>21750.0</v>
      </c>
      <c r="H188" s="9">
        <v>84.0</v>
      </c>
      <c r="I188" s="9">
        <v>13.0</v>
      </c>
      <c r="J188" s="6" t="s">
        <v>33</v>
      </c>
    </row>
    <row r="189" ht="15.75" customHeight="1">
      <c r="A189" s="9">
        <v>188.0</v>
      </c>
      <c r="B189" s="6" t="s">
        <v>43</v>
      </c>
      <c r="C189" s="11">
        <v>12454.0</v>
      </c>
      <c r="D189" s="9">
        <v>12.0</v>
      </c>
      <c r="E189" s="6" t="s">
        <v>25</v>
      </c>
      <c r="F189" s="13">
        <v>34500.0</v>
      </c>
      <c r="G189" s="13">
        <v>18750.0</v>
      </c>
      <c r="H189" s="9">
        <v>84.0</v>
      </c>
      <c r="I189" s="9">
        <v>208.0</v>
      </c>
      <c r="J189" s="6" t="s">
        <v>33</v>
      </c>
    </row>
    <row r="190" ht="15.75" customHeight="1">
      <c r="A190" s="9">
        <v>189.0</v>
      </c>
      <c r="B190" s="6" t="s">
        <v>43</v>
      </c>
      <c r="C190" s="11">
        <v>18350.0</v>
      </c>
      <c r="D190" s="9">
        <v>12.0</v>
      </c>
      <c r="E190" s="6" t="s">
        <v>25</v>
      </c>
      <c r="F190" s="13">
        <v>36000.0</v>
      </c>
      <c r="G190" s="13">
        <v>19980.0</v>
      </c>
      <c r="H190" s="9">
        <v>84.0</v>
      </c>
      <c r="I190" s="9">
        <v>240.0</v>
      </c>
      <c r="J190" s="6" t="s">
        <v>33</v>
      </c>
    </row>
    <row r="191" ht="15.75" customHeight="1">
      <c r="A191" s="9">
        <v>190.0</v>
      </c>
      <c r="B191" s="6" t="s">
        <v>43</v>
      </c>
      <c r="C191" s="11">
        <v>12008.0</v>
      </c>
      <c r="D191" s="9">
        <v>8.0</v>
      </c>
      <c r="E191" s="6" t="s">
        <v>25</v>
      </c>
      <c r="F191" s="13">
        <v>29100.0</v>
      </c>
      <c r="G191" s="13">
        <v>16500.0</v>
      </c>
      <c r="H191" s="9">
        <v>84.0</v>
      </c>
      <c r="I191" s="9">
        <v>35.0</v>
      </c>
      <c r="J191" s="6" t="s">
        <v>33</v>
      </c>
    </row>
    <row r="192" ht="15.75" customHeight="1">
      <c r="A192" s="9">
        <v>191.0</v>
      </c>
      <c r="B192" s="6" t="s">
        <v>43</v>
      </c>
      <c r="C192" s="11">
        <v>11619.0</v>
      </c>
      <c r="D192" s="9">
        <v>12.0</v>
      </c>
      <c r="E192" s="6" t="s">
        <v>25</v>
      </c>
      <c r="F192" s="13">
        <v>16500.0</v>
      </c>
      <c r="G192" s="13">
        <v>10200.0</v>
      </c>
      <c r="H192" s="9">
        <v>84.0</v>
      </c>
      <c r="I192" s="9">
        <v>288.0</v>
      </c>
      <c r="J192" s="6" t="s">
        <v>33</v>
      </c>
    </row>
    <row r="193" ht="15.75" customHeight="1">
      <c r="A193" s="9">
        <v>192.0</v>
      </c>
      <c r="B193" s="6" t="s">
        <v>20</v>
      </c>
      <c r="C193" s="11">
        <v>18180.0</v>
      </c>
      <c r="D193" s="9">
        <v>12.0</v>
      </c>
      <c r="E193" s="6" t="s">
        <v>25</v>
      </c>
      <c r="F193" s="13">
        <v>19650.0</v>
      </c>
      <c r="G193" s="13">
        <v>12750.0</v>
      </c>
      <c r="H193" s="9">
        <v>84.0</v>
      </c>
      <c r="I193" s="9">
        <v>180.0</v>
      </c>
      <c r="J193" s="6" t="s">
        <v>113</v>
      </c>
    </row>
    <row r="194" ht="15.75" customHeight="1">
      <c r="A194" s="9">
        <v>193.0</v>
      </c>
      <c r="B194" s="6" t="s">
        <v>43</v>
      </c>
      <c r="C194" s="11">
        <v>24310.0</v>
      </c>
      <c r="D194" s="9">
        <v>12.0</v>
      </c>
      <c r="E194" s="6" t="s">
        <v>25</v>
      </c>
      <c r="F194" s="13">
        <v>24750.0</v>
      </c>
      <c r="G194" s="13">
        <v>12000.0</v>
      </c>
      <c r="H194" s="9">
        <v>84.0</v>
      </c>
      <c r="I194" s="9">
        <v>41.0</v>
      </c>
      <c r="J194" s="6" t="s">
        <v>113</v>
      </c>
    </row>
    <row r="195" ht="15.75" customHeight="1">
      <c r="A195" s="9">
        <v>194.0</v>
      </c>
      <c r="B195" s="6" t="s">
        <v>43</v>
      </c>
      <c r="C195" s="11">
        <v>13980.0</v>
      </c>
      <c r="D195" s="9">
        <v>15.0</v>
      </c>
      <c r="E195" s="6" t="s">
        <v>25</v>
      </c>
      <c r="F195" s="13">
        <v>27150.0</v>
      </c>
      <c r="G195" s="13">
        <v>15750.0</v>
      </c>
      <c r="H195" s="9">
        <v>84.0</v>
      </c>
      <c r="I195" s="9">
        <v>231.0</v>
      </c>
      <c r="J195" s="6" t="s">
        <v>113</v>
      </c>
    </row>
    <row r="196" ht="15.75" customHeight="1">
      <c r="A196" s="9">
        <v>195.0</v>
      </c>
      <c r="B196" s="6" t="s">
        <v>43</v>
      </c>
      <c r="C196" s="11">
        <v>20399.0</v>
      </c>
      <c r="D196" s="9">
        <v>12.0</v>
      </c>
      <c r="E196" s="6" t="s">
        <v>25</v>
      </c>
      <c r="F196" s="13">
        <v>26400.0</v>
      </c>
      <c r="G196" s="13">
        <v>12750.0</v>
      </c>
      <c r="H196" s="9">
        <v>84.0</v>
      </c>
      <c r="I196" s="9">
        <v>36.0</v>
      </c>
      <c r="J196" s="6" t="s">
        <v>113</v>
      </c>
    </row>
    <row r="197" ht="15.75" customHeight="1">
      <c r="A197" s="9">
        <v>196.0</v>
      </c>
      <c r="B197" s="6" t="s">
        <v>43</v>
      </c>
      <c r="C197" s="11">
        <v>16864.0</v>
      </c>
      <c r="D197" s="9">
        <v>16.0</v>
      </c>
      <c r="E197" s="6" t="s">
        <v>25</v>
      </c>
      <c r="F197" s="13">
        <v>23100.0</v>
      </c>
      <c r="G197" s="13">
        <v>12000.0</v>
      </c>
      <c r="H197" s="9">
        <v>84.0</v>
      </c>
      <c r="I197" s="9">
        <v>214.0</v>
      </c>
      <c r="J197" s="6" t="s">
        <v>113</v>
      </c>
    </row>
    <row r="198" ht="15.75" customHeight="1">
      <c r="A198" s="9">
        <v>197.0</v>
      </c>
      <c r="B198" s="6" t="s">
        <v>20</v>
      </c>
      <c r="C198" s="11">
        <v>22920.0</v>
      </c>
      <c r="D198" s="9">
        <v>15.0</v>
      </c>
      <c r="E198" s="6" t="s">
        <v>26</v>
      </c>
      <c r="F198" s="13">
        <v>54900.0</v>
      </c>
      <c r="G198" s="13">
        <v>25500.0</v>
      </c>
      <c r="H198" s="9">
        <v>83.0</v>
      </c>
      <c r="I198" s="9">
        <v>49.0</v>
      </c>
      <c r="J198" s="6" t="s">
        <v>33</v>
      </c>
    </row>
    <row r="199" ht="15.75" customHeight="1">
      <c r="A199" s="9">
        <v>198.0</v>
      </c>
      <c r="B199" s="6" t="s">
        <v>20</v>
      </c>
      <c r="C199" s="11">
        <v>19070.0</v>
      </c>
      <c r="D199" s="9">
        <v>19.0</v>
      </c>
      <c r="E199" s="6" t="s">
        <v>26</v>
      </c>
      <c r="F199" s="13">
        <v>70875.0</v>
      </c>
      <c r="G199" s="13">
        <v>43500.0</v>
      </c>
      <c r="H199" s="9">
        <v>83.0</v>
      </c>
      <c r="I199" s="9">
        <v>156.0</v>
      </c>
      <c r="J199" s="6" t="s">
        <v>33</v>
      </c>
    </row>
    <row r="200" ht="15.75" customHeight="1">
      <c r="A200" s="9">
        <v>199.0</v>
      </c>
      <c r="B200" s="6" t="s">
        <v>20</v>
      </c>
      <c r="C200" s="11">
        <v>21218.0</v>
      </c>
      <c r="D200" s="9">
        <v>16.0</v>
      </c>
      <c r="E200" s="6" t="s">
        <v>26</v>
      </c>
      <c r="F200" s="13">
        <v>51250.0</v>
      </c>
      <c r="G200" s="13">
        <v>27480.0</v>
      </c>
      <c r="H200" s="9">
        <v>83.0</v>
      </c>
      <c r="I200" s="9">
        <v>69.0</v>
      </c>
      <c r="J200" s="6" t="s">
        <v>33</v>
      </c>
    </row>
    <row r="201" ht="15.75" customHeight="1">
      <c r="A201" s="9">
        <v>200.0</v>
      </c>
      <c r="B201" s="6" t="s">
        <v>20</v>
      </c>
      <c r="C201" s="11">
        <v>23055.0</v>
      </c>
      <c r="D201" s="9">
        <v>17.0</v>
      </c>
      <c r="E201" s="6" t="s">
        <v>26</v>
      </c>
      <c r="F201" s="13">
        <v>67500.0</v>
      </c>
      <c r="G201" s="13">
        <v>34980.0</v>
      </c>
      <c r="H201" s="9">
        <v>83.0</v>
      </c>
      <c r="I201" s="9">
        <v>9.0</v>
      </c>
      <c r="J201" s="6" t="s">
        <v>33</v>
      </c>
    </row>
    <row r="202" ht="15.75" customHeight="1">
      <c r="A202" s="9">
        <v>201.0</v>
      </c>
      <c r="B202" s="6" t="s">
        <v>20</v>
      </c>
      <c r="C202" s="11">
        <v>20217.0</v>
      </c>
      <c r="D202" s="9">
        <v>12.0</v>
      </c>
      <c r="E202" s="6" t="s">
        <v>25</v>
      </c>
      <c r="F202" s="13">
        <v>29340.0</v>
      </c>
      <c r="G202" s="13">
        <v>19500.0</v>
      </c>
      <c r="H202" s="9">
        <v>83.0</v>
      </c>
      <c r="I202" s="9">
        <v>150.0</v>
      </c>
      <c r="J202" s="6" t="s">
        <v>33</v>
      </c>
    </row>
    <row r="203" ht="15.75" customHeight="1">
      <c r="A203" s="9">
        <v>202.0</v>
      </c>
      <c r="B203" s="6" t="s">
        <v>20</v>
      </c>
      <c r="C203" s="11">
        <v>23087.0</v>
      </c>
      <c r="D203" s="9">
        <v>15.0</v>
      </c>
      <c r="E203" s="6" t="s">
        <v>25</v>
      </c>
      <c r="F203" s="13">
        <v>39600.0</v>
      </c>
      <c r="G203" s="13">
        <v>16500.0</v>
      </c>
      <c r="H203" s="9">
        <v>83.0</v>
      </c>
      <c r="I203" s="9">
        <v>47.0</v>
      </c>
      <c r="J203" s="6" t="s">
        <v>33</v>
      </c>
    </row>
    <row r="204" ht="15.75" customHeight="1">
      <c r="A204" s="9">
        <v>203.0</v>
      </c>
      <c r="B204" s="6" t="s">
        <v>20</v>
      </c>
      <c r="C204" s="11">
        <v>23453.0</v>
      </c>
      <c r="D204" s="9">
        <v>12.0</v>
      </c>
      <c r="E204" s="6" t="s">
        <v>25</v>
      </c>
      <c r="F204" s="13">
        <v>29100.0</v>
      </c>
      <c r="G204" s="13">
        <v>15000.0</v>
      </c>
      <c r="H204" s="9">
        <v>83.0</v>
      </c>
      <c r="I204" s="9">
        <v>50.0</v>
      </c>
      <c r="J204" s="6" t="s">
        <v>33</v>
      </c>
    </row>
    <row r="205" ht="15.75" customHeight="1">
      <c r="A205" s="9">
        <v>204.0</v>
      </c>
      <c r="B205" s="6" t="s">
        <v>20</v>
      </c>
      <c r="C205" s="11">
        <v>22210.0</v>
      </c>
      <c r="D205" s="9">
        <v>15.0</v>
      </c>
      <c r="E205" s="6" t="s">
        <v>25</v>
      </c>
      <c r="F205" s="13">
        <v>33150.0</v>
      </c>
      <c r="G205" s="13">
        <v>16500.0</v>
      </c>
      <c r="H205" s="9">
        <v>83.0</v>
      </c>
      <c r="I205" s="9">
        <v>69.0</v>
      </c>
      <c r="J205" s="6" t="s">
        <v>33</v>
      </c>
    </row>
    <row r="206" ht="15.75" customHeight="1">
      <c r="A206" s="9">
        <v>205.0</v>
      </c>
      <c r="B206" s="6" t="s">
        <v>20</v>
      </c>
      <c r="C206" s="11">
        <v>16245.0</v>
      </c>
      <c r="D206" s="9">
        <v>16.0</v>
      </c>
      <c r="E206" s="6" t="s">
        <v>26</v>
      </c>
      <c r="F206" s="13">
        <v>66750.0</v>
      </c>
      <c r="G206" s="13">
        <v>52500.0</v>
      </c>
      <c r="H206" s="9">
        <v>83.0</v>
      </c>
      <c r="I206" s="9">
        <v>258.0</v>
      </c>
      <c r="J206" s="6" t="s">
        <v>33</v>
      </c>
    </row>
    <row r="207" ht="15.75" customHeight="1">
      <c r="A207" s="9">
        <v>206.0</v>
      </c>
      <c r="B207" s="6" t="s">
        <v>20</v>
      </c>
      <c r="C207" s="11">
        <v>15848.0</v>
      </c>
      <c r="D207" s="9">
        <v>12.0</v>
      </c>
      <c r="E207" s="6" t="s">
        <v>133</v>
      </c>
      <c r="F207" s="13">
        <v>33750.0</v>
      </c>
      <c r="G207" s="13">
        <v>15000.0</v>
      </c>
      <c r="H207" s="9">
        <v>83.0</v>
      </c>
      <c r="I207" s="9">
        <v>284.0</v>
      </c>
      <c r="J207" s="6" t="s">
        <v>33</v>
      </c>
    </row>
    <row r="208" ht="15.75" customHeight="1">
      <c r="A208" s="9">
        <v>207.0</v>
      </c>
      <c r="B208" s="6" t="s">
        <v>20</v>
      </c>
      <c r="C208" s="11">
        <v>21596.0</v>
      </c>
      <c r="D208" s="9">
        <v>15.0</v>
      </c>
      <c r="E208" s="6" t="s">
        <v>25</v>
      </c>
      <c r="F208" s="13">
        <v>27300.0</v>
      </c>
      <c r="G208" s="13">
        <v>17250.0</v>
      </c>
      <c r="H208" s="9">
        <v>83.0</v>
      </c>
      <c r="I208" s="9">
        <v>91.0</v>
      </c>
      <c r="J208" s="6" t="s">
        <v>33</v>
      </c>
    </row>
    <row r="209" ht="15.75" customHeight="1">
      <c r="A209" s="9">
        <v>208.0</v>
      </c>
      <c r="B209" s="6" t="s">
        <v>43</v>
      </c>
      <c r="C209" s="11">
        <v>25170.0</v>
      </c>
      <c r="D209" s="9">
        <v>12.0</v>
      </c>
      <c r="E209" s="6" t="s">
        <v>25</v>
      </c>
      <c r="F209" s="13">
        <v>24000.0</v>
      </c>
      <c r="G209" s="13">
        <v>11250.0</v>
      </c>
      <c r="H209" s="9">
        <v>83.0</v>
      </c>
      <c r="I209" s="9">
        <v>16.0</v>
      </c>
      <c r="J209" s="6" t="s">
        <v>33</v>
      </c>
    </row>
    <row r="210" ht="15.75" customHeight="1">
      <c r="A210" s="9">
        <v>209.0</v>
      </c>
      <c r="B210" s="6" t="s">
        <v>43</v>
      </c>
      <c r="C210" s="11">
        <v>12433.0</v>
      </c>
      <c r="D210" s="9">
        <v>8.0</v>
      </c>
      <c r="E210" s="6" t="s">
        <v>25</v>
      </c>
      <c r="F210" s="13">
        <v>19800.0</v>
      </c>
      <c r="G210" s="13">
        <v>10200.0</v>
      </c>
      <c r="H210" s="9">
        <v>83.0</v>
      </c>
      <c r="I210" s="9">
        <v>75.0</v>
      </c>
      <c r="J210" s="6" t="s">
        <v>33</v>
      </c>
    </row>
    <row r="211" ht="15.75" customHeight="1">
      <c r="A211" s="9">
        <v>210.0</v>
      </c>
      <c r="B211" s="6" t="s">
        <v>20</v>
      </c>
      <c r="C211" s="11">
        <v>18022.0</v>
      </c>
      <c r="D211" s="9">
        <v>15.0</v>
      </c>
      <c r="E211" s="6" t="s">
        <v>25</v>
      </c>
      <c r="F211" s="13">
        <v>30600.0</v>
      </c>
      <c r="G211" s="13">
        <v>16500.0</v>
      </c>
      <c r="H211" s="9">
        <v>83.0</v>
      </c>
      <c r="I211" s="9">
        <v>216.0</v>
      </c>
      <c r="J211" s="6" t="s">
        <v>113</v>
      </c>
    </row>
    <row r="212" ht="15.75" customHeight="1">
      <c r="A212" s="9">
        <v>211.0</v>
      </c>
      <c r="B212" s="6" t="s">
        <v>20</v>
      </c>
      <c r="C212" s="11">
        <v>18575.0</v>
      </c>
      <c r="D212" s="9">
        <v>15.0</v>
      </c>
      <c r="E212" s="6" t="s">
        <v>25</v>
      </c>
      <c r="F212" s="13">
        <v>28950.0</v>
      </c>
      <c r="G212" s="13">
        <v>15000.0</v>
      </c>
      <c r="H212" s="9">
        <v>83.0</v>
      </c>
      <c r="I212" s="9">
        <v>108.0</v>
      </c>
      <c r="J212" s="6" t="s">
        <v>113</v>
      </c>
    </row>
    <row r="213" ht="15.75" customHeight="1">
      <c r="A213" s="9">
        <v>212.0</v>
      </c>
      <c r="B213" s="6" t="s">
        <v>20</v>
      </c>
      <c r="C213" s="11">
        <v>23876.0</v>
      </c>
      <c r="D213" s="9">
        <v>15.0</v>
      </c>
      <c r="E213" s="6" t="s">
        <v>25</v>
      </c>
      <c r="F213" s="13">
        <v>38400.0</v>
      </c>
      <c r="G213" s="13">
        <v>16500.0</v>
      </c>
      <c r="H213" s="9">
        <v>83.0</v>
      </c>
      <c r="I213" s="9">
        <v>64.0</v>
      </c>
      <c r="J213" s="6" t="s">
        <v>113</v>
      </c>
    </row>
    <row r="214" ht="15.75" customHeight="1">
      <c r="A214" s="9">
        <v>213.0</v>
      </c>
      <c r="B214" s="6" t="s">
        <v>20</v>
      </c>
      <c r="C214" s="11">
        <v>16730.0</v>
      </c>
      <c r="D214" s="9">
        <v>8.0</v>
      </c>
      <c r="E214" s="6" t="s">
        <v>133</v>
      </c>
      <c r="F214" s="13">
        <v>30750.0</v>
      </c>
      <c r="G214" s="13">
        <v>15000.0</v>
      </c>
      <c r="H214" s="9">
        <v>83.0</v>
      </c>
      <c r="I214" s="9">
        <v>302.0</v>
      </c>
      <c r="J214" s="6" t="s">
        <v>113</v>
      </c>
    </row>
    <row r="215" ht="15.75" customHeight="1">
      <c r="A215" s="9">
        <v>214.0</v>
      </c>
      <c r="B215" s="6" t="s">
        <v>43</v>
      </c>
      <c r="C215" s="11">
        <v>25094.0</v>
      </c>
      <c r="D215" s="9">
        <v>12.0</v>
      </c>
      <c r="E215" s="6" t="s">
        <v>25</v>
      </c>
      <c r="F215" s="13">
        <v>20400.0</v>
      </c>
      <c r="G215" s="13">
        <v>10950.0</v>
      </c>
      <c r="H215" s="9">
        <v>83.0</v>
      </c>
      <c r="I215" s="9">
        <v>9.0</v>
      </c>
      <c r="J215" s="6" t="s">
        <v>113</v>
      </c>
    </row>
    <row r="216" ht="15.75" customHeight="1">
      <c r="A216" s="9">
        <v>215.0</v>
      </c>
      <c r="B216" s="6" t="s">
        <v>43</v>
      </c>
      <c r="C216" s="11">
        <v>25096.0</v>
      </c>
      <c r="D216" s="9">
        <v>12.0</v>
      </c>
      <c r="E216" s="6" t="s">
        <v>25</v>
      </c>
      <c r="F216" s="13">
        <v>19200.0</v>
      </c>
      <c r="G216" s="13">
        <v>11100.0</v>
      </c>
      <c r="H216" s="9">
        <v>83.0</v>
      </c>
      <c r="I216" s="9">
        <v>7.0</v>
      </c>
      <c r="J216" s="6" t="s">
        <v>113</v>
      </c>
    </row>
    <row r="217" ht="15.75" customHeight="1">
      <c r="A217" s="9">
        <v>216.0</v>
      </c>
      <c r="B217" s="6" t="s">
        <v>20</v>
      </c>
      <c r="C217" s="11">
        <v>23513.0</v>
      </c>
      <c r="D217" s="9">
        <v>15.0</v>
      </c>
      <c r="E217" s="6" t="s">
        <v>25</v>
      </c>
      <c r="F217" s="13">
        <v>30150.0</v>
      </c>
      <c r="G217" s="13">
        <v>15750.0</v>
      </c>
      <c r="H217" s="9">
        <v>82.0</v>
      </c>
      <c r="I217" s="9">
        <v>72.0</v>
      </c>
      <c r="J217" s="6" t="s">
        <v>33</v>
      </c>
    </row>
    <row r="218" ht="15.75" customHeight="1">
      <c r="A218" s="9">
        <v>217.0</v>
      </c>
      <c r="B218" s="6" t="s">
        <v>20</v>
      </c>
      <c r="C218" s="11">
        <v>17972.0</v>
      </c>
      <c r="D218" s="9">
        <v>16.0</v>
      </c>
      <c r="E218" s="6" t="s">
        <v>25</v>
      </c>
      <c r="F218" s="13">
        <v>34620.0</v>
      </c>
      <c r="G218" s="13">
        <v>27750.0</v>
      </c>
      <c r="H218" s="9">
        <v>82.0</v>
      </c>
      <c r="I218" s="9">
        <v>149.0</v>
      </c>
      <c r="J218" s="6" t="s">
        <v>33</v>
      </c>
    </row>
    <row r="219" ht="15.75" customHeight="1">
      <c r="A219" s="9">
        <v>218.0</v>
      </c>
      <c r="B219" s="6" t="s">
        <v>20</v>
      </c>
      <c r="C219" s="11">
        <v>23457.0</v>
      </c>
      <c r="D219" s="9">
        <v>15.0</v>
      </c>
      <c r="E219" s="6" t="s">
        <v>25</v>
      </c>
      <c r="F219" s="13">
        <v>80000.0</v>
      </c>
      <c r="G219" s="13">
        <v>15750.0</v>
      </c>
      <c r="H219" s="9">
        <v>82.0</v>
      </c>
      <c r="I219" s="9">
        <v>34.0</v>
      </c>
      <c r="J219" s="6" t="s">
        <v>33</v>
      </c>
    </row>
    <row r="220" ht="15.75" customHeight="1">
      <c r="A220" s="9">
        <v>219.0</v>
      </c>
      <c r="B220" s="6" t="s">
        <v>20</v>
      </c>
      <c r="C220" s="11">
        <v>23044.0</v>
      </c>
      <c r="D220" s="9">
        <v>12.0</v>
      </c>
      <c r="E220" s="6" t="s">
        <v>25</v>
      </c>
      <c r="F220" s="13">
        <v>25350.0</v>
      </c>
      <c r="G220" s="13">
        <v>15000.0</v>
      </c>
      <c r="H220" s="9">
        <v>82.0</v>
      </c>
      <c r="I220" s="9">
        <v>32.0</v>
      </c>
      <c r="J220" s="6" t="s">
        <v>33</v>
      </c>
    </row>
    <row r="221" ht="15.75" customHeight="1">
      <c r="A221" s="9">
        <v>220.0</v>
      </c>
      <c r="B221" s="6" t="s">
        <v>20</v>
      </c>
      <c r="C221" s="11">
        <v>23240.0</v>
      </c>
      <c r="D221" s="9">
        <v>12.0</v>
      </c>
      <c r="E221" s="6" t="s">
        <v>25</v>
      </c>
      <c r="F221" s="13">
        <v>29850.0</v>
      </c>
      <c r="G221" s="13">
        <v>15750.0</v>
      </c>
      <c r="H221" s="9">
        <v>82.0</v>
      </c>
      <c r="I221" s="9">
        <v>85.0</v>
      </c>
      <c r="J221" s="6" t="s">
        <v>33</v>
      </c>
    </row>
    <row r="222" ht="15.75" customHeight="1">
      <c r="A222" s="9">
        <v>221.0</v>
      </c>
      <c r="B222" s="6" t="s">
        <v>43</v>
      </c>
      <c r="C222" s="11">
        <v>17309.0</v>
      </c>
      <c r="D222" s="9">
        <v>12.0</v>
      </c>
      <c r="E222" s="6" t="s">
        <v>25</v>
      </c>
      <c r="F222" s="13">
        <v>24000.0</v>
      </c>
      <c r="G222" s="13">
        <v>13800.0</v>
      </c>
      <c r="H222" s="9">
        <v>82.0</v>
      </c>
      <c r="I222" s="9">
        <v>97.0</v>
      </c>
      <c r="J222" s="6" t="s">
        <v>33</v>
      </c>
    </row>
    <row r="223" ht="15.75" customHeight="1">
      <c r="A223" s="9">
        <v>222.0</v>
      </c>
      <c r="B223" s="6" t="s">
        <v>43</v>
      </c>
      <c r="C223" s="11">
        <v>13042.0</v>
      </c>
      <c r="D223" s="9">
        <v>15.0</v>
      </c>
      <c r="E223" s="6" t="s">
        <v>25</v>
      </c>
      <c r="F223" s="13">
        <v>27750.0</v>
      </c>
      <c r="G223" s="13">
        <v>19500.0</v>
      </c>
      <c r="H223" s="9">
        <v>82.0</v>
      </c>
      <c r="I223" s="9">
        <v>265.0</v>
      </c>
      <c r="J223" s="6" t="s">
        <v>33</v>
      </c>
    </row>
    <row r="224" ht="15.75" customHeight="1">
      <c r="A224" s="9">
        <v>223.0</v>
      </c>
      <c r="B224" s="6" t="s">
        <v>43</v>
      </c>
      <c r="C224" s="11">
        <v>15414.0</v>
      </c>
      <c r="D224" s="9">
        <v>8.0</v>
      </c>
      <c r="E224" s="6" t="s">
        <v>25</v>
      </c>
      <c r="F224" s="13">
        <v>22350.0</v>
      </c>
      <c r="G224" s="13">
        <v>10200.0</v>
      </c>
      <c r="H224" s="9">
        <v>82.0</v>
      </c>
      <c r="I224" s="9">
        <v>48.0</v>
      </c>
      <c r="J224" s="6" t="s">
        <v>33</v>
      </c>
    </row>
    <row r="225" ht="15.75" customHeight="1">
      <c r="A225" s="9">
        <v>224.0</v>
      </c>
      <c r="B225" s="6" t="s">
        <v>43</v>
      </c>
      <c r="C225" s="11">
        <v>12743.0</v>
      </c>
      <c r="D225" s="9">
        <v>12.0</v>
      </c>
      <c r="E225" s="6" t="s">
        <v>25</v>
      </c>
      <c r="F225" s="13">
        <v>16200.0</v>
      </c>
      <c r="G225" s="13">
        <v>10200.0</v>
      </c>
      <c r="H225" s="9">
        <v>82.0</v>
      </c>
      <c r="I225" s="9"/>
      <c r="J225" s="6" t="s">
        <v>33</v>
      </c>
    </row>
    <row r="226" ht="15.75" customHeight="1">
      <c r="A226" s="9">
        <v>225.0</v>
      </c>
      <c r="B226" s="6" t="s">
        <v>43</v>
      </c>
      <c r="C226" s="11">
        <v>24758.0</v>
      </c>
      <c r="D226" s="9">
        <v>15.0</v>
      </c>
      <c r="E226" s="6" t="s">
        <v>25</v>
      </c>
      <c r="F226" s="13">
        <v>21900.0</v>
      </c>
      <c r="G226" s="13">
        <v>12750.0</v>
      </c>
      <c r="H226" s="9">
        <v>82.0</v>
      </c>
      <c r="I226" s="9"/>
      <c r="J226" s="6" t="s">
        <v>33</v>
      </c>
    </row>
    <row r="227" ht="15.75" customHeight="1">
      <c r="A227" s="9">
        <v>226.0</v>
      </c>
      <c r="B227" s="6" t="s">
        <v>43</v>
      </c>
      <c r="C227" s="11">
        <v>23549.0</v>
      </c>
      <c r="D227" s="9">
        <v>16.0</v>
      </c>
      <c r="E227" s="6" t="s">
        <v>25</v>
      </c>
      <c r="F227" s="13">
        <v>23250.0</v>
      </c>
      <c r="G227" s="13">
        <v>15750.0</v>
      </c>
      <c r="H227" s="9">
        <v>82.0</v>
      </c>
      <c r="I227" s="9">
        <v>4.0</v>
      </c>
      <c r="J227" s="6" t="s">
        <v>33</v>
      </c>
    </row>
    <row r="228" ht="15.75" customHeight="1">
      <c r="A228" s="9">
        <v>227.0</v>
      </c>
      <c r="B228" s="6" t="s">
        <v>43</v>
      </c>
      <c r="C228" s="11">
        <v>23940.0</v>
      </c>
      <c r="D228" s="9">
        <v>12.0</v>
      </c>
      <c r="E228" s="6" t="s">
        <v>25</v>
      </c>
      <c r="F228" s="13">
        <v>33900.0</v>
      </c>
      <c r="G228" s="13">
        <v>12000.0</v>
      </c>
      <c r="H228" s="9">
        <v>82.0</v>
      </c>
      <c r="I228" s="9">
        <v>11.0</v>
      </c>
      <c r="J228" s="6" t="s">
        <v>33</v>
      </c>
    </row>
    <row r="229" ht="15.75" customHeight="1">
      <c r="A229" s="9">
        <v>228.0</v>
      </c>
      <c r="B229" s="6" t="s">
        <v>43</v>
      </c>
      <c r="C229" s="11">
        <v>23275.0</v>
      </c>
      <c r="D229" s="9">
        <v>15.0</v>
      </c>
      <c r="E229" s="6" t="s">
        <v>25</v>
      </c>
      <c r="F229" s="13">
        <v>25650.0</v>
      </c>
      <c r="G229" s="13">
        <v>14250.0</v>
      </c>
      <c r="H229" s="9">
        <v>82.0</v>
      </c>
      <c r="I229" s="9">
        <v>51.0</v>
      </c>
      <c r="J229" s="6" t="s">
        <v>33</v>
      </c>
    </row>
    <row r="230" ht="15.75" customHeight="1">
      <c r="A230" s="9">
        <v>229.0</v>
      </c>
      <c r="B230" s="6" t="s">
        <v>43</v>
      </c>
      <c r="C230" s="11">
        <v>14844.0</v>
      </c>
      <c r="D230" s="9">
        <v>12.0</v>
      </c>
      <c r="E230" s="6" t="s">
        <v>25</v>
      </c>
      <c r="F230" s="13">
        <v>17250.0</v>
      </c>
      <c r="G230" s="13">
        <v>10200.0</v>
      </c>
      <c r="H230" s="9">
        <v>82.0</v>
      </c>
      <c r="I230" s="9">
        <v>358.0</v>
      </c>
      <c r="J230" s="6" t="s">
        <v>33</v>
      </c>
    </row>
    <row r="231" ht="15.75" customHeight="1">
      <c r="A231" s="9">
        <v>230.0</v>
      </c>
      <c r="B231" s="6" t="s">
        <v>20</v>
      </c>
      <c r="C231" s="11">
        <v>12454.0</v>
      </c>
      <c r="D231" s="9">
        <v>15.0</v>
      </c>
      <c r="E231" s="6" t="s">
        <v>25</v>
      </c>
      <c r="F231" s="13">
        <v>22500.0</v>
      </c>
      <c r="G231" s="13">
        <v>15000.0</v>
      </c>
      <c r="H231" s="9">
        <v>82.0</v>
      </c>
      <c r="I231" s="9">
        <v>371.0</v>
      </c>
      <c r="J231" s="6" t="s">
        <v>113</v>
      </c>
    </row>
    <row r="232" ht="15.75" customHeight="1">
      <c r="A232" s="9">
        <v>231.0</v>
      </c>
      <c r="B232" s="6" t="s">
        <v>20</v>
      </c>
      <c r="C232" s="11">
        <v>23751.0</v>
      </c>
      <c r="D232" s="9">
        <v>16.0</v>
      </c>
      <c r="E232" s="6" t="s">
        <v>26</v>
      </c>
      <c r="F232" s="13">
        <v>40200.0</v>
      </c>
      <c r="G232" s="13">
        <v>21000.0</v>
      </c>
      <c r="H232" s="9">
        <v>81.0</v>
      </c>
      <c r="I232" s="9">
        <v>3.0</v>
      </c>
      <c r="J232" s="6" t="s">
        <v>33</v>
      </c>
    </row>
    <row r="233" ht="15.75" customHeight="1">
      <c r="A233" s="9">
        <v>232.0</v>
      </c>
      <c r="B233" s="6" t="s">
        <v>20</v>
      </c>
      <c r="C233" s="11">
        <v>23267.0</v>
      </c>
      <c r="D233" s="9">
        <v>19.0</v>
      </c>
      <c r="E233" s="6" t="s">
        <v>26</v>
      </c>
      <c r="F233" s="13">
        <v>55500.0</v>
      </c>
      <c r="G233" s="13">
        <v>33750.0</v>
      </c>
      <c r="H233" s="9">
        <v>81.0</v>
      </c>
      <c r="I233" s="9">
        <v>62.0</v>
      </c>
      <c r="J233" s="6" t="s">
        <v>33</v>
      </c>
    </row>
    <row r="234" ht="15.75" customHeight="1">
      <c r="A234" s="9">
        <v>233.0</v>
      </c>
      <c r="B234" s="6" t="s">
        <v>20</v>
      </c>
      <c r="C234" s="11">
        <v>23213.0</v>
      </c>
      <c r="D234" s="9">
        <v>15.0</v>
      </c>
      <c r="E234" s="6" t="s">
        <v>25</v>
      </c>
      <c r="F234" s="13">
        <v>26550.0</v>
      </c>
      <c r="G234" s="13">
        <v>15000.0</v>
      </c>
      <c r="H234" s="9">
        <v>81.0</v>
      </c>
      <c r="I234" s="9">
        <v>52.0</v>
      </c>
      <c r="J234" s="6" t="s">
        <v>33</v>
      </c>
    </row>
    <row r="235" ht="15.75" customHeight="1">
      <c r="A235" s="9">
        <v>234.0</v>
      </c>
      <c r="B235" s="6" t="s">
        <v>20</v>
      </c>
      <c r="C235" s="11">
        <v>22232.0</v>
      </c>
      <c r="D235" s="9">
        <v>15.0</v>
      </c>
      <c r="E235" s="6" t="s">
        <v>25</v>
      </c>
      <c r="F235" s="13">
        <v>50550.0</v>
      </c>
      <c r="G235" s="13">
        <v>19500.0</v>
      </c>
      <c r="H235" s="9">
        <v>81.0</v>
      </c>
      <c r="I235" s="9">
        <v>44.0</v>
      </c>
      <c r="J235" s="6" t="s">
        <v>33</v>
      </c>
    </row>
    <row r="236" ht="15.75" customHeight="1">
      <c r="A236" s="9">
        <v>235.0</v>
      </c>
      <c r="B236" s="6" t="s">
        <v>20</v>
      </c>
      <c r="C236" s="11">
        <v>22900.0</v>
      </c>
      <c r="D236" s="9">
        <v>19.0</v>
      </c>
      <c r="E236" s="6" t="s">
        <v>26</v>
      </c>
      <c r="F236" s="13">
        <v>75000.0</v>
      </c>
      <c r="G236" s="13">
        <v>31500.0</v>
      </c>
      <c r="H236" s="9">
        <v>81.0</v>
      </c>
      <c r="I236" s="9">
        <v>13.0</v>
      </c>
      <c r="J236" s="6" t="s">
        <v>33</v>
      </c>
    </row>
    <row r="237" ht="15.75" customHeight="1">
      <c r="A237" s="9">
        <v>236.0</v>
      </c>
      <c r="B237" s="6" t="s">
        <v>43</v>
      </c>
      <c r="C237" s="11">
        <v>25325.0</v>
      </c>
      <c r="D237" s="9">
        <v>8.0</v>
      </c>
      <c r="E237" s="6" t="s">
        <v>25</v>
      </c>
      <c r="F237" s="13">
        <v>27450.0</v>
      </c>
      <c r="G237" s="13">
        <v>12000.0</v>
      </c>
      <c r="H237" s="9">
        <v>81.0</v>
      </c>
      <c r="I237" s="9">
        <v>9.0</v>
      </c>
      <c r="J237" s="6" t="s">
        <v>33</v>
      </c>
    </row>
    <row r="238" ht="15.75" customHeight="1">
      <c r="A238" s="9">
        <v>237.0</v>
      </c>
      <c r="B238" s="6" t="s">
        <v>43</v>
      </c>
      <c r="C238" s="11">
        <v>25358.0</v>
      </c>
      <c r="D238" s="9">
        <v>12.0</v>
      </c>
      <c r="E238" s="6" t="s">
        <v>25</v>
      </c>
      <c r="F238" s="13">
        <v>22650.0</v>
      </c>
      <c r="G238" s="13">
        <v>11250.0</v>
      </c>
      <c r="H238" s="9">
        <v>81.0</v>
      </c>
      <c r="I238" s="9"/>
      <c r="J238" s="6" t="s">
        <v>33</v>
      </c>
    </row>
    <row r="239" ht="15.75" customHeight="1">
      <c r="A239" s="9">
        <v>238.0</v>
      </c>
      <c r="B239" s="6" t="s">
        <v>43</v>
      </c>
      <c r="C239" s="11">
        <v>25369.0</v>
      </c>
      <c r="D239" s="9">
        <v>12.0</v>
      </c>
      <c r="E239" s="6" t="s">
        <v>25</v>
      </c>
      <c r="F239" s="13">
        <v>27300.0</v>
      </c>
      <c r="G239" s="13">
        <v>11250.0</v>
      </c>
      <c r="H239" s="9">
        <v>81.0</v>
      </c>
      <c r="I239" s="9">
        <v>5.0</v>
      </c>
      <c r="J239" s="6" t="s">
        <v>33</v>
      </c>
    </row>
    <row r="240" ht="15.75" customHeight="1">
      <c r="A240" s="9">
        <v>239.0</v>
      </c>
      <c r="B240" s="6" t="s">
        <v>43</v>
      </c>
      <c r="C240" s="11">
        <v>25460.0</v>
      </c>
      <c r="D240" s="9">
        <v>12.0</v>
      </c>
      <c r="E240" s="6" t="s">
        <v>25</v>
      </c>
      <c r="F240" s="13">
        <v>27750.0</v>
      </c>
      <c r="G240" s="13">
        <v>11225.0</v>
      </c>
      <c r="H240" s="9">
        <v>81.0</v>
      </c>
      <c r="I240" s="9">
        <v>5.0</v>
      </c>
      <c r="J240" s="6" t="s">
        <v>33</v>
      </c>
    </row>
    <row r="241" ht="15.75" customHeight="1">
      <c r="A241" s="9">
        <v>240.0</v>
      </c>
      <c r="B241" s="6" t="s">
        <v>43</v>
      </c>
      <c r="C241" s="11">
        <v>22447.0</v>
      </c>
      <c r="D241" s="9">
        <v>16.0</v>
      </c>
      <c r="E241" s="6" t="s">
        <v>26</v>
      </c>
      <c r="F241" s="13">
        <v>54375.0</v>
      </c>
      <c r="G241" s="13">
        <v>18750.0</v>
      </c>
      <c r="H241" s="9">
        <v>81.0</v>
      </c>
      <c r="I241" s="9">
        <v>81.0</v>
      </c>
      <c r="J241" s="6" t="s">
        <v>33</v>
      </c>
    </row>
    <row r="242" ht="15.75" customHeight="1">
      <c r="A242" s="9">
        <v>241.0</v>
      </c>
      <c r="B242" s="6" t="s">
        <v>43</v>
      </c>
      <c r="C242" s="11">
        <v>13389.0</v>
      </c>
      <c r="D242" s="9">
        <v>8.0</v>
      </c>
      <c r="E242" s="6" t="s">
        <v>25</v>
      </c>
      <c r="F242" s="13">
        <v>17400.0</v>
      </c>
      <c r="G242" s="13">
        <v>10200.0</v>
      </c>
      <c r="H242" s="9">
        <v>81.0</v>
      </c>
      <c r="I242" s="9">
        <v>390.0</v>
      </c>
      <c r="J242" s="6" t="s">
        <v>33</v>
      </c>
    </row>
    <row r="243" ht="15.75" customHeight="1">
      <c r="A243" s="9">
        <v>242.0</v>
      </c>
      <c r="B243" s="6" t="s">
        <v>43</v>
      </c>
      <c r="C243" s="11">
        <v>24779.0</v>
      </c>
      <c r="D243" s="9">
        <v>12.0</v>
      </c>
      <c r="E243" s="6" t="s">
        <v>25</v>
      </c>
      <c r="F243" s="13">
        <v>40800.0</v>
      </c>
      <c r="G243" s="13">
        <v>18000.0</v>
      </c>
      <c r="H243" s="9">
        <v>81.0</v>
      </c>
      <c r="I243" s="9">
        <v>4.0</v>
      </c>
      <c r="J243" s="6" t="s">
        <v>33</v>
      </c>
    </row>
    <row r="244" ht="15.75" customHeight="1">
      <c r="A244" s="9">
        <v>243.0</v>
      </c>
      <c r="B244" s="6" t="s">
        <v>43</v>
      </c>
      <c r="C244" s="11">
        <v>25244.0</v>
      </c>
      <c r="D244" s="9">
        <v>12.0</v>
      </c>
      <c r="E244" s="6" t="s">
        <v>25</v>
      </c>
      <c r="F244" s="13">
        <v>23100.0</v>
      </c>
      <c r="G244" s="13">
        <v>10950.0</v>
      </c>
      <c r="H244" s="9">
        <v>81.0</v>
      </c>
      <c r="I244" s="9"/>
      <c r="J244" s="6" t="s">
        <v>33</v>
      </c>
    </row>
    <row r="245" ht="15.75" customHeight="1">
      <c r="A245" s="9">
        <v>244.0</v>
      </c>
      <c r="B245" s="6" t="s">
        <v>43</v>
      </c>
      <c r="C245" s="11">
        <v>25461.0</v>
      </c>
      <c r="D245" s="9">
        <v>8.0</v>
      </c>
      <c r="E245" s="6" t="s">
        <v>25</v>
      </c>
      <c r="F245" s="13">
        <v>22500.0</v>
      </c>
      <c r="G245" s="13">
        <v>10950.0</v>
      </c>
      <c r="H245" s="9">
        <v>81.0</v>
      </c>
      <c r="I245" s="9">
        <v>5.0</v>
      </c>
      <c r="J245" s="6" t="s">
        <v>33</v>
      </c>
    </row>
    <row r="246" ht="15.75" customHeight="1">
      <c r="A246" s="9">
        <v>245.0</v>
      </c>
      <c r="B246" s="6" t="s">
        <v>43</v>
      </c>
      <c r="C246" s="11">
        <v>25278.0</v>
      </c>
      <c r="D246" s="9">
        <v>12.0</v>
      </c>
      <c r="E246" s="6" t="s">
        <v>25</v>
      </c>
      <c r="F246" s="13">
        <v>26700.0</v>
      </c>
      <c r="G246" s="13">
        <v>11550.0</v>
      </c>
      <c r="H246" s="9">
        <v>81.0</v>
      </c>
      <c r="I246" s="9">
        <v>18.0</v>
      </c>
      <c r="J246" s="6" t="s">
        <v>33</v>
      </c>
    </row>
    <row r="247" ht="15.75" customHeight="1">
      <c r="A247" s="9">
        <v>246.0</v>
      </c>
      <c r="B247" s="6" t="s">
        <v>43</v>
      </c>
      <c r="C247" s="11">
        <v>24851.0</v>
      </c>
      <c r="D247" s="9">
        <v>12.0</v>
      </c>
      <c r="E247" s="6" t="s">
        <v>25</v>
      </c>
      <c r="F247" s="13">
        <v>24900.0</v>
      </c>
      <c r="G247" s="13">
        <v>11250.0</v>
      </c>
      <c r="H247" s="9">
        <v>81.0</v>
      </c>
      <c r="I247" s="9"/>
      <c r="J247" s="6" t="s">
        <v>33</v>
      </c>
    </row>
    <row r="248" ht="15.75" customHeight="1">
      <c r="A248" s="9">
        <v>247.0</v>
      </c>
      <c r="B248" s="6" t="s">
        <v>43</v>
      </c>
      <c r="C248" s="11">
        <v>24971.0</v>
      </c>
      <c r="D248" s="9">
        <v>12.0</v>
      </c>
      <c r="E248" s="6" t="s">
        <v>25</v>
      </c>
      <c r="F248" s="13">
        <v>19650.0</v>
      </c>
      <c r="G248" s="13">
        <v>10950.0</v>
      </c>
      <c r="H248" s="9">
        <v>81.0</v>
      </c>
      <c r="I248" s="9">
        <v>11.0</v>
      </c>
      <c r="J248" s="6" t="s">
        <v>33</v>
      </c>
    </row>
    <row r="249" ht="15.75" customHeight="1">
      <c r="A249" s="9">
        <v>248.0</v>
      </c>
      <c r="B249" s="6" t="s">
        <v>43</v>
      </c>
      <c r="C249" s="11">
        <v>25302.0</v>
      </c>
      <c r="D249" s="9">
        <v>12.0</v>
      </c>
      <c r="E249" s="6" t="s">
        <v>25</v>
      </c>
      <c r="F249" s="13">
        <v>22050.0</v>
      </c>
      <c r="G249" s="13">
        <v>10950.0</v>
      </c>
      <c r="H249" s="9">
        <v>81.0</v>
      </c>
      <c r="I249" s="9">
        <v>9.0</v>
      </c>
      <c r="J249" s="6" t="s">
        <v>33</v>
      </c>
    </row>
    <row r="250" ht="15.75" customHeight="1">
      <c r="A250" s="9">
        <v>249.0</v>
      </c>
      <c r="B250" s="6" t="s">
        <v>43</v>
      </c>
      <c r="C250" s="11">
        <v>25332.0</v>
      </c>
      <c r="D250" s="9">
        <v>12.0</v>
      </c>
      <c r="E250" s="6" t="s">
        <v>25</v>
      </c>
      <c r="F250" s="13">
        <v>25500.0</v>
      </c>
      <c r="G250" s="13">
        <v>12000.0</v>
      </c>
      <c r="H250" s="9">
        <v>81.0</v>
      </c>
      <c r="I250" s="9">
        <v>11.0</v>
      </c>
      <c r="J250" s="6" t="s">
        <v>33</v>
      </c>
    </row>
    <row r="251" ht="15.75" customHeight="1">
      <c r="A251" s="9">
        <v>250.0</v>
      </c>
      <c r="B251" s="6" t="s">
        <v>43</v>
      </c>
      <c r="C251" s="11">
        <v>24390.0</v>
      </c>
      <c r="D251" s="9">
        <v>15.0</v>
      </c>
      <c r="E251" s="6" t="s">
        <v>25</v>
      </c>
      <c r="F251" s="13">
        <v>28200.0</v>
      </c>
      <c r="G251" s="13">
        <v>12750.0</v>
      </c>
      <c r="H251" s="9">
        <v>81.0</v>
      </c>
      <c r="I251" s="9">
        <v>19.0</v>
      </c>
      <c r="J251" s="6" t="s">
        <v>33</v>
      </c>
    </row>
    <row r="252" ht="15.75" customHeight="1">
      <c r="A252" s="9">
        <v>251.0</v>
      </c>
      <c r="B252" s="6" t="s">
        <v>43</v>
      </c>
      <c r="C252" s="11">
        <v>25222.0</v>
      </c>
      <c r="D252" s="9">
        <v>12.0</v>
      </c>
      <c r="E252" s="6" t="s">
        <v>25</v>
      </c>
      <c r="F252" s="13">
        <v>23100.0</v>
      </c>
      <c r="G252" s="13">
        <v>11250.0</v>
      </c>
      <c r="H252" s="9">
        <v>81.0</v>
      </c>
      <c r="I252" s="9">
        <v>13.0</v>
      </c>
      <c r="J252" s="6" t="s">
        <v>33</v>
      </c>
    </row>
    <row r="253" ht="15.75" customHeight="1">
      <c r="A253" s="9">
        <v>252.0</v>
      </c>
      <c r="B253" s="6" t="s">
        <v>20</v>
      </c>
      <c r="C253" s="11">
        <v>25464.0</v>
      </c>
      <c r="D253" s="9">
        <v>12.0</v>
      </c>
      <c r="E253" s="6" t="s">
        <v>25</v>
      </c>
      <c r="F253" s="13">
        <v>25500.0</v>
      </c>
      <c r="G253" s="13">
        <v>11400.0</v>
      </c>
      <c r="H253" s="9">
        <v>81.0</v>
      </c>
      <c r="I253" s="9">
        <v>9.0</v>
      </c>
      <c r="J253" s="6" t="s">
        <v>113</v>
      </c>
    </row>
    <row r="254" ht="15.75" customHeight="1">
      <c r="A254" s="9">
        <v>253.0</v>
      </c>
      <c r="B254" s="6" t="s">
        <v>43</v>
      </c>
      <c r="C254" s="11">
        <v>15393.0</v>
      </c>
      <c r="D254" s="9">
        <v>8.0</v>
      </c>
      <c r="E254" s="6" t="s">
        <v>25</v>
      </c>
      <c r="F254" s="13">
        <v>17100.0</v>
      </c>
      <c r="G254" s="13">
        <v>10200.0</v>
      </c>
      <c r="H254" s="9">
        <v>81.0</v>
      </c>
      <c r="I254" s="9"/>
      <c r="J254" s="6" t="s">
        <v>113</v>
      </c>
    </row>
    <row r="255" ht="15.75" customHeight="1">
      <c r="A255" s="9">
        <v>254.0</v>
      </c>
      <c r="B255" s="6" t="s">
        <v>20</v>
      </c>
      <c r="C255" s="11">
        <v>23415.0</v>
      </c>
      <c r="D255" s="9">
        <v>18.0</v>
      </c>
      <c r="E255" s="6" t="s">
        <v>26</v>
      </c>
      <c r="F255" s="13">
        <v>68125.0</v>
      </c>
      <c r="G255" s="13">
        <v>32490.0</v>
      </c>
      <c r="H255" s="9">
        <v>80.0</v>
      </c>
      <c r="I255" s="9">
        <v>29.0</v>
      </c>
      <c r="J255" s="6" t="s">
        <v>33</v>
      </c>
    </row>
    <row r="256" ht="15.75" customHeight="1">
      <c r="A256" s="9">
        <v>255.0</v>
      </c>
      <c r="B256" s="6" t="s">
        <v>20</v>
      </c>
      <c r="C256" s="11">
        <v>11916.0</v>
      </c>
      <c r="D256" s="9">
        <v>12.0</v>
      </c>
      <c r="E256" s="6" t="s">
        <v>133</v>
      </c>
      <c r="F256" s="13">
        <v>30600.0</v>
      </c>
      <c r="G256" s="13">
        <v>15750.0</v>
      </c>
      <c r="H256" s="9">
        <v>80.0</v>
      </c>
      <c r="I256" s="9">
        <v>460.0</v>
      </c>
      <c r="J256" s="6" t="s">
        <v>33</v>
      </c>
    </row>
    <row r="257" ht="15.75" customHeight="1">
      <c r="A257" s="9">
        <v>256.0</v>
      </c>
      <c r="B257" s="6" t="s">
        <v>20</v>
      </c>
      <c r="C257" s="11">
        <v>17535.0</v>
      </c>
      <c r="D257" s="9">
        <v>19.0</v>
      </c>
      <c r="E257" s="6" t="s">
        <v>26</v>
      </c>
      <c r="F257" s="13">
        <v>52125.0</v>
      </c>
      <c r="G257" s="13">
        <v>27480.0</v>
      </c>
      <c r="H257" s="9">
        <v>80.0</v>
      </c>
      <c r="I257" s="9">
        <v>221.0</v>
      </c>
      <c r="J257" s="6" t="s">
        <v>33</v>
      </c>
    </row>
    <row r="258" ht="15.75" customHeight="1">
      <c r="A258" s="9">
        <v>257.0</v>
      </c>
      <c r="B258" s="6" t="s">
        <v>20</v>
      </c>
      <c r="C258" s="11">
        <v>18895.0</v>
      </c>
      <c r="D258" s="9">
        <v>19.0</v>
      </c>
      <c r="E258" s="6" t="s">
        <v>26</v>
      </c>
      <c r="F258" s="13">
        <v>61875.0</v>
      </c>
      <c r="G258" s="13">
        <v>36750.0</v>
      </c>
      <c r="H258" s="9">
        <v>80.0</v>
      </c>
      <c r="I258" s="9">
        <v>199.0</v>
      </c>
      <c r="J258" s="6" t="s">
        <v>33</v>
      </c>
    </row>
    <row r="259" ht="15.75" customHeight="1">
      <c r="A259" s="9">
        <v>258.0</v>
      </c>
      <c r="B259" s="6" t="s">
        <v>20</v>
      </c>
      <c r="C259" s="11">
        <v>25271.0</v>
      </c>
      <c r="D259" s="9">
        <v>8.0</v>
      </c>
      <c r="E259" s="6" t="s">
        <v>25</v>
      </c>
      <c r="F259" s="13">
        <v>21300.0</v>
      </c>
      <c r="G259" s="13">
        <v>11550.0</v>
      </c>
      <c r="H259" s="9">
        <v>80.0</v>
      </c>
      <c r="I259" s="9">
        <v>24.0</v>
      </c>
      <c r="J259" s="6" t="s">
        <v>33</v>
      </c>
    </row>
    <row r="260" ht="15.75" customHeight="1">
      <c r="A260" s="9">
        <v>259.0</v>
      </c>
      <c r="B260" s="6" t="s">
        <v>43</v>
      </c>
      <c r="C260" s="11">
        <v>25277.0</v>
      </c>
      <c r="D260" s="9">
        <v>12.0</v>
      </c>
      <c r="E260" s="6" t="s">
        <v>25</v>
      </c>
      <c r="F260" s="13">
        <v>19650.0</v>
      </c>
      <c r="G260" s="13">
        <v>11250.0</v>
      </c>
      <c r="H260" s="9">
        <v>80.0</v>
      </c>
      <c r="I260" s="9">
        <v>5.0</v>
      </c>
      <c r="J260" s="6" t="s">
        <v>33</v>
      </c>
    </row>
    <row r="261" ht="15.75" customHeight="1">
      <c r="A261" s="9">
        <v>260.0</v>
      </c>
      <c r="B261" s="6" t="s">
        <v>43</v>
      </c>
      <c r="C261" s="11">
        <v>25254.0</v>
      </c>
      <c r="D261" s="9">
        <v>12.0</v>
      </c>
      <c r="E261" s="6" t="s">
        <v>25</v>
      </c>
      <c r="F261" s="13">
        <v>22350.0</v>
      </c>
      <c r="G261" s="13">
        <v>11250.0</v>
      </c>
      <c r="H261" s="9">
        <v>80.0</v>
      </c>
      <c r="I261" s="9">
        <v>5.0</v>
      </c>
      <c r="J261" s="6" t="s">
        <v>33</v>
      </c>
    </row>
    <row r="262" ht="15.75" customHeight="1">
      <c r="A262" s="9">
        <v>261.0</v>
      </c>
      <c r="B262" s="6" t="s">
        <v>43</v>
      </c>
      <c r="C262" s="11">
        <v>25289.0</v>
      </c>
      <c r="D262" s="9">
        <v>12.0</v>
      </c>
      <c r="E262" s="6" t="s">
        <v>25</v>
      </c>
      <c r="F262" s="13">
        <v>23400.0</v>
      </c>
      <c r="G262" s="13">
        <v>11250.0</v>
      </c>
      <c r="H262" s="9">
        <v>80.0</v>
      </c>
      <c r="I262" s="9">
        <v>18.0</v>
      </c>
      <c r="J262" s="6" t="s">
        <v>33</v>
      </c>
    </row>
    <row r="263" ht="15.75" customHeight="1">
      <c r="A263" s="9">
        <v>262.0</v>
      </c>
      <c r="B263" s="6" t="s">
        <v>43</v>
      </c>
      <c r="C263" s="11">
        <v>25009.0</v>
      </c>
      <c r="D263" s="9">
        <v>12.0</v>
      </c>
      <c r="E263" s="6" t="s">
        <v>25</v>
      </c>
      <c r="F263" s="13">
        <v>24300.0</v>
      </c>
      <c r="G263" s="13">
        <v>10950.0</v>
      </c>
      <c r="H263" s="9">
        <v>80.0</v>
      </c>
      <c r="I263" s="9">
        <v>8.0</v>
      </c>
      <c r="J263" s="6" t="s">
        <v>33</v>
      </c>
    </row>
    <row r="264" ht="15.75" customHeight="1">
      <c r="A264" s="9">
        <v>263.0</v>
      </c>
      <c r="B264" s="6" t="s">
        <v>43</v>
      </c>
      <c r="C264" s="11">
        <v>25124.0</v>
      </c>
      <c r="D264" s="9">
        <v>12.0</v>
      </c>
      <c r="E264" s="6" t="s">
        <v>25</v>
      </c>
      <c r="F264" s="13">
        <v>28500.0</v>
      </c>
      <c r="G264" s="13">
        <v>11250.0</v>
      </c>
      <c r="H264" s="9">
        <v>80.0</v>
      </c>
      <c r="I264" s="9">
        <v>4.0</v>
      </c>
      <c r="J264" s="6" t="s">
        <v>33</v>
      </c>
    </row>
    <row r="265" ht="15.75" customHeight="1">
      <c r="A265" s="9">
        <v>264.0</v>
      </c>
      <c r="B265" s="6" t="s">
        <v>43</v>
      </c>
      <c r="C265" s="11">
        <v>25219.0</v>
      </c>
      <c r="D265" s="9">
        <v>12.0</v>
      </c>
      <c r="E265" s="6" t="s">
        <v>25</v>
      </c>
      <c r="F265" s="13">
        <v>19950.0</v>
      </c>
      <c r="G265" s="13">
        <v>11250.0</v>
      </c>
      <c r="H265" s="9">
        <v>80.0</v>
      </c>
      <c r="I265" s="9">
        <v>8.0</v>
      </c>
      <c r="J265" s="6" t="s">
        <v>33</v>
      </c>
    </row>
    <row r="266" ht="15.75" customHeight="1">
      <c r="A266" s="9">
        <v>265.0</v>
      </c>
      <c r="B266" s="6" t="s">
        <v>43</v>
      </c>
      <c r="C266" s="11">
        <v>25470.0</v>
      </c>
      <c r="D266" s="9">
        <v>12.0</v>
      </c>
      <c r="E266" s="6" t="s">
        <v>25</v>
      </c>
      <c r="F266" s="13">
        <v>23400.0</v>
      </c>
      <c r="G266" s="13">
        <v>11250.0</v>
      </c>
      <c r="H266" s="9">
        <v>80.0</v>
      </c>
      <c r="I266" s="9"/>
      <c r="J266" s="6" t="s">
        <v>33</v>
      </c>
    </row>
    <row r="267" ht="15.75" customHeight="1">
      <c r="A267" s="9">
        <v>266.0</v>
      </c>
      <c r="B267" s="6" t="s">
        <v>43</v>
      </c>
      <c r="C267" s="11">
        <v>23291.0</v>
      </c>
      <c r="D267" s="9">
        <v>16.0</v>
      </c>
      <c r="E267" s="6" t="s">
        <v>25</v>
      </c>
      <c r="F267" s="13">
        <v>34500.0</v>
      </c>
      <c r="G267" s="13">
        <v>17250.0</v>
      </c>
      <c r="H267" s="9">
        <v>80.0</v>
      </c>
      <c r="I267" s="9">
        <v>3.0</v>
      </c>
      <c r="J267" s="6" t="s">
        <v>33</v>
      </c>
    </row>
    <row r="268" ht="15.75" customHeight="1">
      <c r="A268" s="9">
        <v>267.0</v>
      </c>
      <c r="B268" s="6" t="s">
        <v>43</v>
      </c>
      <c r="C268" s="11">
        <v>25439.0</v>
      </c>
      <c r="D268" s="9">
        <v>12.0</v>
      </c>
      <c r="E268" s="6" t="s">
        <v>25</v>
      </c>
      <c r="F268" s="13">
        <v>18150.0</v>
      </c>
      <c r="G268" s="13">
        <v>10950.0</v>
      </c>
      <c r="H268" s="9">
        <v>80.0</v>
      </c>
      <c r="I268" s="9"/>
      <c r="J268" s="6" t="s">
        <v>33</v>
      </c>
    </row>
    <row r="269" ht="15.75" customHeight="1">
      <c r="A269" s="9">
        <v>268.0</v>
      </c>
      <c r="B269" s="6" t="s">
        <v>20</v>
      </c>
      <c r="C269" s="11">
        <v>13286.0</v>
      </c>
      <c r="D269" s="9">
        <v>12.0</v>
      </c>
      <c r="E269" s="6" t="s">
        <v>25</v>
      </c>
      <c r="F269" s="13">
        <v>22350.0</v>
      </c>
      <c r="G269" s="13">
        <v>15000.0</v>
      </c>
      <c r="H269" s="9">
        <v>80.0</v>
      </c>
      <c r="I269" s="9">
        <v>272.0</v>
      </c>
      <c r="J269" s="6" t="s">
        <v>113</v>
      </c>
    </row>
    <row r="270" ht="15.75" customHeight="1">
      <c r="A270" s="9">
        <v>269.0</v>
      </c>
      <c r="B270" s="6" t="s">
        <v>20</v>
      </c>
      <c r="C270" s="11">
        <v>24183.0</v>
      </c>
      <c r="D270" s="9">
        <v>15.0</v>
      </c>
      <c r="E270" s="6" t="s">
        <v>25</v>
      </c>
      <c r="F270" s="13">
        <v>40200.0</v>
      </c>
      <c r="G270" s="13">
        <v>17250.0</v>
      </c>
      <c r="H270" s="9">
        <v>79.0</v>
      </c>
      <c r="I270" s="9">
        <v>38.0</v>
      </c>
      <c r="J270" s="6" t="s">
        <v>33</v>
      </c>
    </row>
    <row r="271" ht="15.75" customHeight="1">
      <c r="A271" s="9">
        <v>270.0</v>
      </c>
      <c r="B271" s="6" t="s">
        <v>20</v>
      </c>
      <c r="C271" s="11">
        <v>17469.0</v>
      </c>
      <c r="D271" s="9">
        <v>15.0</v>
      </c>
      <c r="E271" s="6" t="s">
        <v>25</v>
      </c>
      <c r="F271" s="13">
        <v>28650.0</v>
      </c>
      <c r="G271" s="13">
        <v>18000.0</v>
      </c>
      <c r="H271" s="9">
        <v>79.0</v>
      </c>
      <c r="I271" s="9">
        <v>261.0</v>
      </c>
      <c r="J271" s="6" t="s">
        <v>33</v>
      </c>
    </row>
    <row r="272" ht="15.75" customHeight="1">
      <c r="A272" s="9">
        <v>271.0</v>
      </c>
      <c r="B272" s="6" t="s">
        <v>20</v>
      </c>
      <c r="C272" s="11">
        <v>23247.0</v>
      </c>
      <c r="D272" s="9">
        <v>15.0</v>
      </c>
      <c r="E272" s="6" t="s">
        <v>25</v>
      </c>
      <c r="F272" s="13">
        <v>27750.0</v>
      </c>
      <c r="G272" s="13">
        <v>16500.0</v>
      </c>
      <c r="H272" s="9">
        <v>79.0</v>
      </c>
      <c r="I272" s="9">
        <v>55.0</v>
      </c>
      <c r="J272" s="6" t="s">
        <v>33</v>
      </c>
    </row>
    <row r="273" ht="15.75" customHeight="1">
      <c r="A273" s="9">
        <v>272.0</v>
      </c>
      <c r="B273" s="6" t="s">
        <v>20</v>
      </c>
      <c r="C273" s="11">
        <v>23545.0</v>
      </c>
      <c r="D273" s="9">
        <v>18.0</v>
      </c>
      <c r="E273" s="6" t="s">
        <v>25</v>
      </c>
      <c r="F273" s="13">
        <v>66875.0</v>
      </c>
      <c r="G273" s="13">
        <v>31980.0</v>
      </c>
      <c r="H273" s="9">
        <v>79.0</v>
      </c>
      <c r="I273" s="9">
        <v>30.0</v>
      </c>
      <c r="J273" s="6" t="s">
        <v>33</v>
      </c>
    </row>
    <row r="274" ht="15.75" customHeight="1">
      <c r="A274" s="9">
        <v>273.0</v>
      </c>
      <c r="B274" s="6" t="s">
        <v>20</v>
      </c>
      <c r="C274" s="11">
        <v>14561.0</v>
      </c>
      <c r="D274" s="9">
        <v>12.0</v>
      </c>
      <c r="E274" s="6" t="s">
        <v>133</v>
      </c>
      <c r="F274" s="13">
        <v>30000.0</v>
      </c>
      <c r="G274" s="13">
        <v>15750.0</v>
      </c>
      <c r="H274" s="9">
        <v>79.0</v>
      </c>
      <c r="I274" s="9">
        <v>308.0</v>
      </c>
      <c r="J274" s="6" t="s">
        <v>33</v>
      </c>
    </row>
    <row r="275" ht="15.75" customHeight="1">
      <c r="A275" s="9">
        <v>274.0</v>
      </c>
      <c r="B275" s="6" t="s">
        <v>20</v>
      </c>
      <c r="C275" s="11">
        <v>23593.0</v>
      </c>
      <c r="D275" s="9">
        <v>16.0</v>
      </c>
      <c r="E275" s="6" t="s">
        <v>26</v>
      </c>
      <c r="F275" s="13">
        <v>83750.0</v>
      </c>
      <c r="G275" s="13">
        <v>21750.0</v>
      </c>
      <c r="H275" s="9">
        <v>79.0</v>
      </c>
      <c r="I275" s="9">
        <v>12.0</v>
      </c>
      <c r="J275" s="6" t="s">
        <v>33</v>
      </c>
    </row>
    <row r="276" ht="15.75" customHeight="1">
      <c r="A276" s="9">
        <v>275.0</v>
      </c>
      <c r="B276" s="6" t="s">
        <v>20</v>
      </c>
      <c r="C276" s="11">
        <v>23025.0</v>
      </c>
      <c r="D276" s="9">
        <v>12.0</v>
      </c>
      <c r="E276" s="6" t="s">
        <v>25</v>
      </c>
      <c r="F276" s="13">
        <v>33900.0</v>
      </c>
      <c r="G276" s="13">
        <v>16500.0</v>
      </c>
      <c r="H276" s="9">
        <v>79.0</v>
      </c>
      <c r="I276" s="9">
        <v>94.0</v>
      </c>
      <c r="J276" s="6" t="s">
        <v>33</v>
      </c>
    </row>
    <row r="277" ht="15.75" customHeight="1">
      <c r="A277" s="9">
        <v>276.0</v>
      </c>
      <c r="B277" s="6" t="s">
        <v>20</v>
      </c>
      <c r="C277" s="11">
        <v>23873.0</v>
      </c>
      <c r="D277" s="9">
        <v>16.0</v>
      </c>
      <c r="E277" s="6" t="s">
        <v>26</v>
      </c>
      <c r="F277" s="13">
        <v>56500.0</v>
      </c>
      <c r="G277" s="13">
        <v>21000.0</v>
      </c>
      <c r="H277" s="9">
        <v>79.0</v>
      </c>
      <c r="I277" s="9">
        <v>12.0</v>
      </c>
      <c r="J277" s="6" t="s">
        <v>33</v>
      </c>
    </row>
    <row r="278" ht="15.75" customHeight="1">
      <c r="A278" s="9">
        <v>277.0</v>
      </c>
      <c r="B278" s="6" t="s">
        <v>43</v>
      </c>
      <c r="C278" s="11">
        <v>23882.0</v>
      </c>
      <c r="D278" s="9">
        <v>16.0</v>
      </c>
      <c r="E278" s="6" t="s">
        <v>26</v>
      </c>
      <c r="F278" s="13">
        <v>43000.0</v>
      </c>
      <c r="G278" s="13">
        <v>17490.0</v>
      </c>
      <c r="H278" s="9">
        <v>79.0</v>
      </c>
      <c r="I278" s="9">
        <v>20.0</v>
      </c>
      <c r="J278" s="6" t="s">
        <v>33</v>
      </c>
    </row>
    <row r="279" ht="15.75" customHeight="1">
      <c r="A279" s="9">
        <v>278.0</v>
      </c>
      <c r="B279" s="6" t="s">
        <v>43</v>
      </c>
      <c r="C279" s="11">
        <v>15869.0</v>
      </c>
      <c r="D279" s="9">
        <v>8.0</v>
      </c>
      <c r="E279" s="6" t="s">
        <v>25</v>
      </c>
      <c r="F279" s="13">
        <v>20850.0</v>
      </c>
      <c r="G279" s="13">
        <v>12000.0</v>
      </c>
      <c r="H279" s="9">
        <v>79.0</v>
      </c>
      <c r="I279" s="9">
        <v>70.0</v>
      </c>
      <c r="J279" s="6" t="s">
        <v>33</v>
      </c>
    </row>
    <row r="280" ht="15.75" customHeight="1">
      <c r="A280" s="9">
        <v>279.0</v>
      </c>
      <c r="B280" s="6" t="s">
        <v>43</v>
      </c>
      <c r="C280" s="11">
        <v>25309.0</v>
      </c>
      <c r="D280" s="9">
        <v>12.0</v>
      </c>
      <c r="E280" s="6" t="s">
        <v>25</v>
      </c>
      <c r="F280" s="13">
        <v>24450.0</v>
      </c>
      <c r="G280" s="13">
        <v>12000.0</v>
      </c>
      <c r="H280" s="9">
        <v>79.0</v>
      </c>
      <c r="I280" s="9">
        <v>8.0</v>
      </c>
      <c r="J280" s="6" t="s">
        <v>33</v>
      </c>
    </row>
    <row r="281" ht="15.75" customHeight="1">
      <c r="A281" s="9">
        <v>280.0</v>
      </c>
      <c r="B281" s="6" t="s">
        <v>43</v>
      </c>
      <c r="C281" s="11">
        <v>25496.0</v>
      </c>
      <c r="D281" s="9">
        <v>12.0</v>
      </c>
      <c r="E281" s="6" t="s">
        <v>25</v>
      </c>
      <c r="F281" s="13">
        <v>24750.0</v>
      </c>
      <c r="G281" s="13">
        <v>10950.0</v>
      </c>
      <c r="H281" s="9">
        <v>79.0</v>
      </c>
      <c r="I281" s="9">
        <v>5.0</v>
      </c>
      <c r="J281" s="6" t="s">
        <v>33</v>
      </c>
    </row>
    <row r="282" ht="15.75" customHeight="1">
      <c r="A282" s="9">
        <v>281.0</v>
      </c>
      <c r="B282" s="6" t="s">
        <v>20</v>
      </c>
      <c r="C282" s="11">
        <v>16486.0</v>
      </c>
      <c r="D282" s="9">
        <v>8.0</v>
      </c>
      <c r="E282" s="6" t="s">
        <v>133</v>
      </c>
      <c r="F282" s="13">
        <v>34500.0</v>
      </c>
      <c r="G282" s="13">
        <v>15750.0</v>
      </c>
      <c r="H282" s="9">
        <v>79.0</v>
      </c>
      <c r="I282" s="9">
        <v>246.0</v>
      </c>
      <c r="J282" s="6" t="s">
        <v>113</v>
      </c>
    </row>
    <row r="283" ht="15.75" customHeight="1">
      <c r="A283" s="9">
        <v>282.0</v>
      </c>
      <c r="B283" s="6" t="s">
        <v>20</v>
      </c>
      <c r="C283" s="11">
        <v>23269.0</v>
      </c>
      <c r="D283" s="9">
        <v>14.0</v>
      </c>
      <c r="E283" s="6" t="s">
        <v>25</v>
      </c>
      <c r="F283" s="13">
        <v>27900.0</v>
      </c>
      <c r="G283" s="13">
        <v>15000.0</v>
      </c>
      <c r="H283" s="9">
        <v>79.0</v>
      </c>
      <c r="I283" s="9">
        <v>47.0</v>
      </c>
      <c r="J283" s="6" t="s">
        <v>113</v>
      </c>
    </row>
    <row r="284" ht="15.75" customHeight="1">
      <c r="A284" s="9">
        <v>283.0</v>
      </c>
      <c r="B284" s="6" t="s">
        <v>20</v>
      </c>
      <c r="C284" s="11">
        <v>23067.0</v>
      </c>
      <c r="D284" s="9">
        <v>19.0</v>
      </c>
      <c r="E284" s="6" t="s">
        <v>26</v>
      </c>
      <c r="F284" s="13">
        <v>68125.0</v>
      </c>
      <c r="G284" s="13">
        <v>32010.0</v>
      </c>
      <c r="H284" s="9">
        <v>78.0</v>
      </c>
      <c r="I284" s="9">
        <v>35.0</v>
      </c>
      <c r="J284" s="6" t="s">
        <v>33</v>
      </c>
    </row>
    <row r="285" ht="15.75" customHeight="1">
      <c r="A285" s="9">
        <v>284.0</v>
      </c>
      <c r="B285" s="6" t="s">
        <v>20</v>
      </c>
      <c r="C285" s="11">
        <v>22564.0</v>
      </c>
      <c r="D285" s="9">
        <v>19.0</v>
      </c>
      <c r="E285" s="6" t="s">
        <v>26</v>
      </c>
      <c r="F285" s="13">
        <v>73500.0</v>
      </c>
      <c r="G285" s="13">
        <v>33000.0</v>
      </c>
      <c r="H285" s="9">
        <v>78.0</v>
      </c>
      <c r="I285" s="9">
        <v>45.0</v>
      </c>
      <c r="J285" s="6" t="s">
        <v>33</v>
      </c>
    </row>
    <row r="286" ht="15.75" customHeight="1">
      <c r="A286" s="9">
        <v>285.0</v>
      </c>
      <c r="B286" s="6" t="s">
        <v>20</v>
      </c>
      <c r="C286" s="11">
        <v>11106.0</v>
      </c>
      <c r="D286" s="9">
        <v>8.0</v>
      </c>
      <c r="E286" s="6" t="s">
        <v>133</v>
      </c>
      <c r="F286" s="13">
        <v>30750.0</v>
      </c>
      <c r="G286" s="13">
        <v>15750.0</v>
      </c>
      <c r="H286" s="9">
        <v>78.0</v>
      </c>
      <c r="I286" s="9">
        <v>429.0</v>
      </c>
      <c r="J286" s="6" t="s">
        <v>33</v>
      </c>
    </row>
    <row r="287" ht="15.75" customHeight="1">
      <c r="A287" s="9">
        <v>286.0</v>
      </c>
      <c r="B287" s="6" t="s">
        <v>20</v>
      </c>
      <c r="C287" s="11">
        <v>21251.0</v>
      </c>
      <c r="D287" s="9">
        <v>15.0</v>
      </c>
      <c r="E287" s="6" t="s">
        <v>26</v>
      </c>
      <c r="F287" s="13">
        <v>40050.0</v>
      </c>
      <c r="G287" s="13">
        <v>25500.0</v>
      </c>
      <c r="H287" s="9">
        <v>78.0</v>
      </c>
      <c r="I287" s="9">
        <v>133.0</v>
      </c>
      <c r="J287" s="6" t="s">
        <v>33</v>
      </c>
    </row>
    <row r="288" ht="15.75" customHeight="1">
      <c r="A288" s="9">
        <v>287.0</v>
      </c>
      <c r="B288" s="6" t="s">
        <v>20</v>
      </c>
      <c r="C288" s="11">
        <v>23760.0</v>
      </c>
      <c r="D288" s="9">
        <v>16.0</v>
      </c>
      <c r="E288" s="6" t="s">
        <v>25</v>
      </c>
      <c r="F288" s="13">
        <v>40350.0</v>
      </c>
      <c r="G288" s="13">
        <v>19500.0</v>
      </c>
      <c r="H288" s="9">
        <v>78.0</v>
      </c>
      <c r="I288" s="9">
        <v>20.0</v>
      </c>
      <c r="J288" s="6" t="s">
        <v>33</v>
      </c>
    </row>
    <row r="289" ht="15.75" customHeight="1">
      <c r="A289" s="9">
        <v>288.0</v>
      </c>
      <c r="B289" s="6" t="s">
        <v>20</v>
      </c>
      <c r="C289" s="11">
        <v>20111.0</v>
      </c>
      <c r="D289" s="9">
        <v>15.0</v>
      </c>
      <c r="E289" s="6" t="s">
        <v>26</v>
      </c>
      <c r="F289" s="13">
        <v>38700.0</v>
      </c>
      <c r="G289" s="13">
        <v>23730.0</v>
      </c>
      <c r="H289" s="9">
        <v>78.0</v>
      </c>
      <c r="I289" s="9">
        <v>176.0</v>
      </c>
      <c r="J289" s="6" t="s">
        <v>33</v>
      </c>
    </row>
    <row r="290" ht="15.75" customHeight="1">
      <c r="A290" s="9">
        <v>289.0</v>
      </c>
      <c r="B290" s="6" t="s">
        <v>20</v>
      </c>
      <c r="C290" s="11">
        <v>23677.0</v>
      </c>
      <c r="D290" s="9">
        <v>17.0</v>
      </c>
      <c r="E290" s="6" t="s">
        <v>26</v>
      </c>
      <c r="F290" s="13">
        <v>65000.0</v>
      </c>
      <c r="G290" s="13">
        <v>30750.0</v>
      </c>
      <c r="H290" s="9">
        <v>78.0</v>
      </c>
      <c r="I290" s="9">
        <v>26.0</v>
      </c>
      <c r="J290" s="6" t="s">
        <v>33</v>
      </c>
    </row>
    <row r="291" ht="15.75" customHeight="1">
      <c r="A291" s="9">
        <v>290.0</v>
      </c>
      <c r="B291" s="6" t="s">
        <v>20</v>
      </c>
      <c r="C291" s="11">
        <v>19819.0</v>
      </c>
      <c r="D291" s="9">
        <v>18.0</v>
      </c>
      <c r="E291" s="6" t="s">
        <v>26</v>
      </c>
      <c r="F291" s="13">
        <v>51450.0</v>
      </c>
      <c r="G291" s="13">
        <v>36240.0</v>
      </c>
      <c r="H291" s="9">
        <v>78.0</v>
      </c>
      <c r="I291" s="9">
        <v>149.0</v>
      </c>
      <c r="J291" s="6" t="s">
        <v>33</v>
      </c>
    </row>
    <row r="292" ht="15.75" customHeight="1">
      <c r="A292" s="9">
        <v>291.0</v>
      </c>
      <c r="B292" s="6" t="s">
        <v>20</v>
      </c>
      <c r="C292" s="11">
        <v>12685.0</v>
      </c>
      <c r="D292" s="9">
        <v>12.0</v>
      </c>
      <c r="E292" s="6" t="s">
        <v>133</v>
      </c>
      <c r="F292" s="13">
        <v>35250.0</v>
      </c>
      <c r="G292" s="13">
        <v>15750.0</v>
      </c>
      <c r="H292" s="9">
        <v>78.0</v>
      </c>
      <c r="I292" s="9">
        <v>387.0</v>
      </c>
      <c r="J292" s="6" t="s">
        <v>33</v>
      </c>
    </row>
    <row r="293" ht="15.75" customHeight="1">
      <c r="A293" s="9">
        <v>292.0</v>
      </c>
      <c r="B293" s="6" t="s">
        <v>20</v>
      </c>
      <c r="C293" s="11">
        <v>23138.0</v>
      </c>
      <c r="D293" s="9">
        <v>14.0</v>
      </c>
      <c r="E293" s="6" t="s">
        <v>25</v>
      </c>
      <c r="F293" s="13">
        <v>25950.0</v>
      </c>
      <c r="G293" s="13">
        <v>15000.0</v>
      </c>
      <c r="H293" s="9">
        <v>78.0</v>
      </c>
      <c r="I293" s="9">
        <v>53.0</v>
      </c>
      <c r="J293" s="6" t="s">
        <v>33</v>
      </c>
    </row>
    <row r="294" ht="15.75" customHeight="1">
      <c r="A294" s="9">
        <v>293.0</v>
      </c>
      <c r="B294" s="6" t="s">
        <v>20</v>
      </c>
      <c r="C294" s="11">
        <v>24004.0</v>
      </c>
      <c r="D294" s="9">
        <v>15.0</v>
      </c>
      <c r="E294" s="6" t="s">
        <v>25</v>
      </c>
      <c r="F294" s="13">
        <v>25050.0</v>
      </c>
      <c r="G294" s="13">
        <v>14250.0</v>
      </c>
      <c r="H294" s="9">
        <v>78.0</v>
      </c>
      <c r="I294" s="9">
        <v>24.0</v>
      </c>
      <c r="J294" s="6" t="s">
        <v>33</v>
      </c>
    </row>
    <row r="295" ht="15.75" customHeight="1">
      <c r="A295" s="9">
        <v>294.0</v>
      </c>
      <c r="B295" s="6" t="s">
        <v>20</v>
      </c>
      <c r="C295" s="11">
        <v>25121.0</v>
      </c>
      <c r="D295" s="9">
        <v>12.0</v>
      </c>
      <c r="E295" s="6" t="s">
        <v>25</v>
      </c>
      <c r="F295" s="13">
        <v>26700.0</v>
      </c>
      <c r="G295" s="13">
        <v>12750.0</v>
      </c>
      <c r="H295" s="9">
        <v>78.0</v>
      </c>
      <c r="I295" s="9">
        <v>25.0</v>
      </c>
      <c r="J295" s="6" t="s">
        <v>33</v>
      </c>
    </row>
    <row r="296" ht="15.75" customHeight="1">
      <c r="A296" s="9">
        <v>295.0</v>
      </c>
      <c r="B296" s="6" t="s">
        <v>20</v>
      </c>
      <c r="C296" s="11">
        <v>11921.0</v>
      </c>
      <c r="D296" s="9">
        <v>8.0</v>
      </c>
      <c r="E296" s="6" t="s">
        <v>25</v>
      </c>
      <c r="F296" s="13">
        <v>24000.0</v>
      </c>
      <c r="G296" s="13">
        <v>15750.0</v>
      </c>
      <c r="H296" s="9">
        <v>78.0</v>
      </c>
      <c r="I296" s="9">
        <v>476.0</v>
      </c>
      <c r="J296" s="6" t="s">
        <v>33</v>
      </c>
    </row>
    <row r="297" ht="15.75" customHeight="1">
      <c r="A297" s="9">
        <v>296.0</v>
      </c>
      <c r="B297" s="6" t="s">
        <v>20</v>
      </c>
      <c r="C297" s="11">
        <v>23419.0</v>
      </c>
      <c r="D297" s="9">
        <v>12.0</v>
      </c>
      <c r="E297" s="6" t="s">
        <v>25</v>
      </c>
      <c r="F297" s="13">
        <v>26850.0</v>
      </c>
      <c r="G297" s="13">
        <v>15000.0</v>
      </c>
      <c r="H297" s="9">
        <v>78.0</v>
      </c>
      <c r="I297" s="9">
        <v>48.0</v>
      </c>
      <c r="J297" s="6" t="s">
        <v>33</v>
      </c>
    </row>
    <row r="298" ht="15.75" customHeight="1">
      <c r="A298" s="9">
        <v>297.0</v>
      </c>
      <c r="B298" s="6" t="s">
        <v>43</v>
      </c>
      <c r="C298" s="11">
        <v>15447.0</v>
      </c>
      <c r="D298" s="9">
        <v>12.0</v>
      </c>
      <c r="E298" s="6" t="s">
        <v>25</v>
      </c>
      <c r="F298" s="13">
        <v>23400.0</v>
      </c>
      <c r="G298" s="13">
        <v>15300.0</v>
      </c>
      <c r="H298" s="9">
        <v>78.0</v>
      </c>
      <c r="I298" s="9">
        <v>209.0</v>
      </c>
      <c r="J298" s="6" t="s">
        <v>33</v>
      </c>
    </row>
    <row r="299" ht="15.75" customHeight="1">
      <c r="A299" s="9">
        <v>298.0</v>
      </c>
      <c r="B299" s="6" t="s">
        <v>43</v>
      </c>
      <c r="C299" s="11">
        <v>24343.0</v>
      </c>
      <c r="D299" s="9">
        <v>12.0</v>
      </c>
      <c r="E299" s="6" t="s">
        <v>25</v>
      </c>
      <c r="F299" s="13">
        <v>24600.0</v>
      </c>
      <c r="G299" s="13">
        <v>13500.0</v>
      </c>
      <c r="H299" s="9">
        <v>78.0</v>
      </c>
      <c r="I299" s="9">
        <v>47.0</v>
      </c>
      <c r="J299" s="6" t="s">
        <v>33</v>
      </c>
    </row>
    <row r="300" ht="15.75" customHeight="1">
      <c r="A300" s="9">
        <v>299.0</v>
      </c>
      <c r="B300" s="6" t="s">
        <v>43</v>
      </c>
      <c r="C300" s="11">
        <v>23873.0</v>
      </c>
      <c r="D300" s="9">
        <v>15.0</v>
      </c>
      <c r="E300" s="6" t="s">
        <v>25</v>
      </c>
      <c r="F300" s="13">
        <v>32550.0</v>
      </c>
      <c r="G300" s="13">
        <v>18000.0</v>
      </c>
      <c r="H300" s="9">
        <v>78.0</v>
      </c>
      <c r="I300" s="9">
        <v>6.0</v>
      </c>
      <c r="J300" s="6" t="s">
        <v>33</v>
      </c>
    </row>
    <row r="301" ht="15.75" customHeight="1">
      <c r="A301" s="9">
        <v>300.0</v>
      </c>
      <c r="B301" s="6" t="s">
        <v>20</v>
      </c>
      <c r="C301" s="11">
        <v>22062.0</v>
      </c>
      <c r="D301" s="9">
        <v>16.0</v>
      </c>
      <c r="E301" s="6" t="s">
        <v>25</v>
      </c>
      <c r="F301" s="13">
        <v>26550.0</v>
      </c>
      <c r="G301" s="13">
        <v>15000.0</v>
      </c>
      <c r="H301" s="9">
        <v>78.0</v>
      </c>
      <c r="I301" s="9">
        <v>105.0</v>
      </c>
      <c r="J301" s="6" t="s">
        <v>113</v>
      </c>
    </row>
    <row r="302" ht="15.75" customHeight="1">
      <c r="A302" s="9">
        <v>301.0</v>
      </c>
      <c r="B302" s="6" t="s">
        <v>20</v>
      </c>
      <c r="C302" s="11">
        <v>25054.0</v>
      </c>
      <c r="D302" s="9">
        <v>12.0</v>
      </c>
      <c r="E302" s="6" t="s">
        <v>25</v>
      </c>
      <c r="F302" s="13">
        <v>31500.0</v>
      </c>
      <c r="G302" s="13">
        <v>13500.0</v>
      </c>
      <c r="H302" s="9">
        <v>78.0</v>
      </c>
      <c r="I302" s="9">
        <v>7.0</v>
      </c>
      <c r="J302" s="6" t="s">
        <v>113</v>
      </c>
    </row>
    <row r="303" ht="15.75" customHeight="1">
      <c r="A303" s="9">
        <v>302.0</v>
      </c>
      <c r="B303" s="6" t="s">
        <v>20</v>
      </c>
      <c r="C303" s="11">
        <v>14516.0</v>
      </c>
      <c r="D303" s="9">
        <v>8.0</v>
      </c>
      <c r="E303" s="6" t="s">
        <v>25</v>
      </c>
      <c r="F303" s="13">
        <v>22350.0</v>
      </c>
      <c r="G303" s="13">
        <v>15000.0</v>
      </c>
      <c r="H303" s="9">
        <v>78.0</v>
      </c>
      <c r="I303" s="9">
        <v>320.0</v>
      </c>
      <c r="J303" s="6" t="s">
        <v>113</v>
      </c>
    </row>
    <row r="304" ht="15.75" customHeight="1">
      <c r="A304" s="9">
        <v>303.0</v>
      </c>
      <c r="B304" s="6" t="s">
        <v>20</v>
      </c>
      <c r="C304" s="11">
        <v>13921.0</v>
      </c>
      <c r="D304" s="9">
        <v>12.0</v>
      </c>
      <c r="E304" s="6" t="s">
        <v>133</v>
      </c>
      <c r="F304" s="13">
        <v>35250.0</v>
      </c>
      <c r="G304" s="13">
        <v>15750.0</v>
      </c>
      <c r="H304" s="9">
        <v>78.0</v>
      </c>
      <c r="I304" s="9">
        <v>281.0</v>
      </c>
      <c r="J304" s="6" t="s">
        <v>113</v>
      </c>
    </row>
    <row r="305" ht="15.75" customHeight="1">
      <c r="A305" s="9">
        <v>304.0</v>
      </c>
      <c r="B305" s="6" t="s">
        <v>43</v>
      </c>
      <c r="C305" s="11">
        <v>16708.0</v>
      </c>
      <c r="D305" s="9">
        <v>15.0</v>
      </c>
      <c r="E305" s="6" t="s">
        <v>25</v>
      </c>
      <c r="F305" s="13">
        <v>25800.0</v>
      </c>
      <c r="G305" s="13">
        <v>13500.0</v>
      </c>
      <c r="H305" s="9">
        <v>78.0</v>
      </c>
      <c r="I305" s="9">
        <v>51.0</v>
      </c>
      <c r="J305" s="6" t="s">
        <v>113</v>
      </c>
    </row>
    <row r="306" ht="15.75" customHeight="1">
      <c r="A306" s="9">
        <v>305.0</v>
      </c>
      <c r="B306" s="6" t="s">
        <v>20</v>
      </c>
      <c r="C306" s="11">
        <v>15274.0</v>
      </c>
      <c r="D306" s="9">
        <v>12.0</v>
      </c>
      <c r="E306" s="6" t="s">
        <v>133</v>
      </c>
      <c r="F306" s="13">
        <v>30750.0</v>
      </c>
      <c r="G306" s="13">
        <v>15750.0</v>
      </c>
      <c r="H306" s="9">
        <v>77.0</v>
      </c>
      <c r="I306" s="9">
        <v>317.0</v>
      </c>
      <c r="J306" s="6" t="s">
        <v>33</v>
      </c>
    </row>
    <row r="307" ht="15.75" customHeight="1">
      <c r="A307" s="9">
        <v>306.0</v>
      </c>
      <c r="B307" s="6" t="s">
        <v>20</v>
      </c>
      <c r="C307" s="11">
        <v>24202.0</v>
      </c>
      <c r="D307" s="9">
        <v>15.0</v>
      </c>
      <c r="E307" s="6" t="s">
        <v>25</v>
      </c>
      <c r="F307" s="13">
        <v>30750.0</v>
      </c>
      <c r="G307" s="13">
        <v>16500.0</v>
      </c>
      <c r="H307" s="9">
        <v>77.0</v>
      </c>
      <c r="I307" s="9">
        <v>41.0</v>
      </c>
      <c r="J307" s="6" t="s">
        <v>33</v>
      </c>
    </row>
    <row r="308" ht="15.75" customHeight="1">
      <c r="A308" s="9">
        <v>307.0</v>
      </c>
      <c r="B308" s="6" t="s">
        <v>20</v>
      </c>
      <c r="C308" s="11">
        <v>16642.0</v>
      </c>
      <c r="D308" s="9">
        <v>16.0</v>
      </c>
      <c r="E308" s="6" t="s">
        <v>26</v>
      </c>
      <c r="F308" s="13">
        <v>50000.0</v>
      </c>
      <c r="G308" s="13">
        <v>32490.0</v>
      </c>
      <c r="H308" s="9">
        <v>77.0</v>
      </c>
      <c r="I308" s="9">
        <v>264.0</v>
      </c>
      <c r="J308" s="6" t="s">
        <v>33</v>
      </c>
    </row>
    <row r="309" ht="15.75" customHeight="1">
      <c r="A309" s="9">
        <v>308.0</v>
      </c>
      <c r="B309" s="6" t="s">
        <v>20</v>
      </c>
      <c r="C309" s="11">
        <v>23043.0</v>
      </c>
      <c r="D309" s="9">
        <v>15.0</v>
      </c>
      <c r="E309" s="6" t="s">
        <v>25</v>
      </c>
      <c r="F309" s="13">
        <v>34500.0</v>
      </c>
      <c r="G309" s="13">
        <v>18000.0</v>
      </c>
      <c r="H309" s="9">
        <v>77.0</v>
      </c>
      <c r="I309" s="9">
        <v>63.0</v>
      </c>
      <c r="J309" s="6" t="s">
        <v>33</v>
      </c>
    </row>
    <row r="310" ht="15.75" customHeight="1">
      <c r="A310" s="9">
        <v>309.0</v>
      </c>
      <c r="B310" s="6" t="s">
        <v>20</v>
      </c>
      <c r="C310" s="11">
        <v>23577.0</v>
      </c>
      <c r="D310" s="9">
        <v>15.0</v>
      </c>
      <c r="E310" s="6" t="s">
        <v>25</v>
      </c>
      <c r="F310" s="13">
        <v>26250.0</v>
      </c>
      <c r="G310" s="13">
        <v>15750.0</v>
      </c>
      <c r="H310" s="9">
        <v>77.0</v>
      </c>
      <c r="I310" s="9">
        <v>38.0</v>
      </c>
      <c r="J310" s="6" t="s">
        <v>33</v>
      </c>
    </row>
    <row r="311" ht="15.75" customHeight="1">
      <c r="A311" s="9">
        <v>310.0</v>
      </c>
      <c r="B311" s="6" t="s">
        <v>20</v>
      </c>
      <c r="C311" s="11">
        <v>23459.0</v>
      </c>
      <c r="D311" s="9">
        <v>16.0</v>
      </c>
      <c r="E311" s="6" t="s">
        <v>25</v>
      </c>
      <c r="F311" s="13">
        <v>44875.0</v>
      </c>
      <c r="G311" s="13">
        <v>21240.0</v>
      </c>
      <c r="H311" s="9">
        <v>77.0</v>
      </c>
      <c r="I311" s="9">
        <v>22.0</v>
      </c>
      <c r="J311" s="6" t="s">
        <v>33</v>
      </c>
    </row>
    <row r="312" ht="15.75" customHeight="1">
      <c r="A312" s="9">
        <v>311.0</v>
      </c>
      <c r="B312" s="6" t="s">
        <v>43</v>
      </c>
      <c r="C312" s="11">
        <v>18674.0</v>
      </c>
      <c r="D312" s="9">
        <v>12.0</v>
      </c>
      <c r="E312" s="6" t="s">
        <v>25</v>
      </c>
      <c r="F312" s="13">
        <v>22500.0</v>
      </c>
      <c r="G312" s="13">
        <v>12000.0</v>
      </c>
      <c r="H312" s="9">
        <v>77.0</v>
      </c>
      <c r="I312" s="9">
        <v>63.0</v>
      </c>
      <c r="J312" s="6" t="s">
        <v>33</v>
      </c>
    </row>
    <row r="313" ht="15.75" customHeight="1">
      <c r="A313" s="9">
        <v>312.0</v>
      </c>
      <c r="B313" s="6" t="s">
        <v>43</v>
      </c>
      <c r="C313" s="11">
        <v>23082.0</v>
      </c>
      <c r="D313" s="9">
        <v>12.0</v>
      </c>
      <c r="E313" s="6" t="s">
        <v>25</v>
      </c>
      <c r="F313" s="13">
        <v>25650.0</v>
      </c>
      <c r="G313" s="13">
        <v>14250.0</v>
      </c>
      <c r="H313" s="9">
        <v>77.0</v>
      </c>
      <c r="I313" s="9">
        <v>64.0</v>
      </c>
      <c r="J313" s="6" t="s">
        <v>33</v>
      </c>
    </row>
    <row r="314" ht="15.75" customHeight="1">
      <c r="A314" s="9">
        <v>313.0</v>
      </c>
      <c r="B314" s="6" t="s">
        <v>43</v>
      </c>
      <c r="C314" s="11">
        <v>25501.0</v>
      </c>
      <c r="D314" s="9">
        <v>12.0</v>
      </c>
      <c r="E314" s="6" t="s">
        <v>25</v>
      </c>
      <c r="F314" s="13">
        <v>21300.0</v>
      </c>
      <c r="G314" s="13">
        <v>11250.0</v>
      </c>
      <c r="H314" s="9">
        <v>77.0</v>
      </c>
      <c r="I314" s="9"/>
      <c r="J314" s="6" t="s">
        <v>33</v>
      </c>
    </row>
    <row r="315" ht="15.75" customHeight="1">
      <c r="A315" s="9">
        <v>314.0</v>
      </c>
      <c r="B315" s="6" t="s">
        <v>43</v>
      </c>
      <c r="C315" s="11">
        <v>24435.0</v>
      </c>
      <c r="D315" s="9">
        <v>12.0</v>
      </c>
      <c r="E315" s="6" t="s">
        <v>25</v>
      </c>
      <c r="F315" s="13">
        <v>29850.0</v>
      </c>
      <c r="G315" s="13">
        <v>13500.0</v>
      </c>
      <c r="H315" s="9">
        <v>77.0</v>
      </c>
      <c r="I315" s="9">
        <v>38.0</v>
      </c>
      <c r="J315" s="6" t="s">
        <v>33</v>
      </c>
    </row>
    <row r="316" ht="15.75" customHeight="1">
      <c r="A316" s="9">
        <v>315.0</v>
      </c>
      <c r="B316" s="6" t="s">
        <v>43</v>
      </c>
      <c r="C316" s="11">
        <v>25465.0</v>
      </c>
      <c r="D316" s="9">
        <v>12.0</v>
      </c>
      <c r="E316" s="6" t="s">
        <v>25</v>
      </c>
      <c r="F316" s="13">
        <v>34500.0</v>
      </c>
      <c r="G316" s="13">
        <v>12150.0</v>
      </c>
      <c r="H316" s="9">
        <v>77.0</v>
      </c>
      <c r="I316" s="9">
        <v>4.0</v>
      </c>
      <c r="J316" s="6" t="s">
        <v>33</v>
      </c>
    </row>
    <row r="317" ht="15.75" customHeight="1">
      <c r="A317" s="9">
        <v>316.0</v>
      </c>
      <c r="B317" s="6" t="s">
        <v>20</v>
      </c>
      <c r="C317" s="11">
        <v>21929.0</v>
      </c>
      <c r="D317" s="9">
        <v>15.0</v>
      </c>
      <c r="E317" s="6" t="s">
        <v>25</v>
      </c>
      <c r="F317" s="13">
        <v>27750.0</v>
      </c>
      <c r="G317" s="13">
        <v>15000.0</v>
      </c>
      <c r="H317" s="9">
        <v>77.0</v>
      </c>
      <c r="I317" s="9">
        <v>52.0</v>
      </c>
      <c r="J317" s="6" t="s">
        <v>113</v>
      </c>
    </row>
    <row r="318" ht="15.75" customHeight="1">
      <c r="A318" s="9">
        <v>317.0</v>
      </c>
      <c r="B318" s="6" t="s">
        <v>20</v>
      </c>
      <c r="C318" s="11">
        <v>25261.0</v>
      </c>
      <c r="D318" s="9">
        <v>12.0</v>
      </c>
      <c r="E318" s="6" t="s">
        <v>25</v>
      </c>
      <c r="F318" s="13">
        <v>27750.0</v>
      </c>
      <c r="G318" s="13">
        <v>11550.0</v>
      </c>
      <c r="H318" s="9">
        <v>77.0</v>
      </c>
      <c r="I318" s="9">
        <v>12.0</v>
      </c>
      <c r="J318" s="6" t="s">
        <v>113</v>
      </c>
    </row>
    <row r="319" ht="15.75" customHeight="1">
      <c r="A319" s="9">
        <v>318.0</v>
      </c>
      <c r="B319" s="6" t="s">
        <v>20</v>
      </c>
      <c r="C319" s="11">
        <v>22331.0</v>
      </c>
      <c r="D319" s="9">
        <v>16.0</v>
      </c>
      <c r="E319" s="6" t="s">
        <v>26</v>
      </c>
      <c r="F319" s="13">
        <v>48750.0</v>
      </c>
      <c r="G319" s="13">
        <v>21990.0</v>
      </c>
      <c r="H319" s="9">
        <v>76.0</v>
      </c>
      <c r="I319" s="9">
        <v>61.0</v>
      </c>
      <c r="J319" s="6" t="s">
        <v>33</v>
      </c>
    </row>
    <row r="320" ht="15.75" customHeight="1">
      <c r="A320" s="9">
        <v>319.0</v>
      </c>
      <c r="B320" s="6" t="s">
        <v>20</v>
      </c>
      <c r="C320" s="11">
        <v>24168.0</v>
      </c>
      <c r="D320" s="9">
        <v>15.0</v>
      </c>
      <c r="E320" s="6" t="s">
        <v>25</v>
      </c>
      <c r="F320" s="13">
        <v>43410.0</v>
      </c>
      <c r="G320" s="13">
        <v>15750.0</v>
      </c>
      <c r="H320" s="9">
        <v>76.0</v>
      </c>
      <c r="I320" s="9">
        <v>12.0</v>
      </c>
      <c r="J320" s="6" t="s">
        <v>33</v>
      </c>
    </row>
    <row r="321" ht="15.75" customHeight="1">
      <c r="A321" s="9">
        <v>320.0</v>
      </c>
      <c r="B321" s="6" t="s">
        <v>20</v>
      </c>
      <c r="C321" s="11">
        <v>13464.0</v>
      </c>
      <c r="D321" s="9">
        <v>12.0</v>
      </c>
      <c r="E321" s="6" t="s">
        <v>25</v>
      </c>
      <c r="F321" s="13">
        <v>22050.0</v>
      </c>
      <c r="G321" s="13">
        <v>15000.0</v>
      </c>
      <c r="H321" s="9">
        <v>76.0</v>
      </c>
      <c r="I321" s="9">
        <v>385.0</v>
      </c>
      <c r="J321" s="6" t="s">
        <v>33</v>
      </c>
    </row>
    <row r="322" ht="15.75" customHeight="1">
      <c r="A322" s="9">
        <v>321.0</v>
      </c>
      <c r="B322" s="6" t="s">
        <v>43</v>
      </c>
      <c r="C322" s="11">
        <v>19658.0</v>
      </c>
      <c r="D322" s="9">
        <v>12.0</v>
      </c>
      <c r="E322" s="6" t="s">
        <v>25</v>
      </c>
      <c r="F322" s="13">
        <v>22050.0</v>
      </c>
      <c r="G322" s="13">
        <v>12000.0</v>
      </c>
      <c r="H322" s="9">
        <v>76.0</v>
      </c>
      <c r="I322" s="9">
        <v>6.0</v>
      </c>
      <c r="J322" s="6" t="s">
        <v>33</v>
      </c>
    </row>
    <row r="323" ht="15.75" customHeight="1">
      <c r="A323" s="9">
        <v>322.0</v>
      </c>
      <c r="B323" s="6" t="s">
        <v>43</v>
      </c>
      <c r="C323" s="11">
        <v>13941.0</v>
      </c>
      <c r="D323" s="9">
        <v>12.0</v>
      </c>
      <c r="E323" s="6" t="s">
        <v>25</v>
      </c>
      <c r="F323" s="13">
        <v>22500.0</v>
      </c>
      <c r="G323" s="13">
        <v>14250.0</v>
      </c>
      <c r="H323" s="9">
        <v>76.0</v>
      </c>
      <c r="I323" s="9">
        <v>90.0</v>
      </c>
      <c r="J323" s="6" t="s">
        <v>33</v>
      </c>
    </row>
    <row r="324" ht="15.75" customHeight="1">
      <c r="A324" s="9">
        <v>323.0</v>
      </c>
      <c r="B324" s="6" t="s">
        <v>43</v>
      </c>
      <c r="C324" s="11">
        <v>24605.0</v>
      </c>
      <c r="D324" s="9">
        <v>15.0</v>
      </c>
      <c r="E324" s="6" t="s">
        <v>25</v>
      </c>
      <c r="F324" s="13">
        <v>25500.0</v>
      </c>
      <c r="G324" s="13">
        <v>12000.0</v>
      </c>
      <c r="H324" s="9">
        <v>76.0</v>
      </c>
      <c r="I324" s="9">
        <v>7.0</v>
      </c>
      <c r="J324" s="6" t="s">
        <v>33</v>
      </c>
    </row>
    <row r="325" ht="15.75" customHeight="1">
      <c r="A325" s="9">
        <v>324.0</v>
      </c>
      <c r="B325" s="6" t="s">
        <v>43</v>
      </c>
      <c r="C325" s="11">
        <v>24394.0</v>
      </c>
      <c r="D325" s="9">
        <v>12.0</v>
      </c>
      <c r="E325" s="6" t="s">
        <v>25</v>
      </c>
      <c r="F325" s="13">
        <v>29160.0</v>
      </c>
      <c r="G325" s="13">
        <v>15000.0</v>
      </c>
      <c r="H325" s="9">
        <v>76.0</v>
      </c>
      <c r="I325" s="9">
        <v>22.0</v>
      </c>
      <c r="J325" s="6" t="s">
        <v>33</v>
      </c>
    </row>
    <row r="326" ht="15.75" customHeight="1">
      <c r="A326" s="9">
        <v>325.0</v>
      </c>
      <c r="B326" s="6" t="s">
        <v>43</v>
      </c>
      <c r="C326" s="11">
        <v>12727.0</v>
      </c>
      <c r="D326" s="9">
        <v>8.0</v>
      </c>
      <c r="E326" s="6" t="s">
        <v>25</v>
      </c>
      <c r="F326" s="13">
        <v>16800.0</v>
      </c>
      <c r="G326" s="13">
        <v>10200.0</v>
      </c>
      <c r="H326" s="9">
        <v>76.0</v>
      </c>
      <c r="I326" s="9">
        <v>76.0</v>
      </c>
      <c r="J326" s="6" t="s">
        <v>33</v>
      </c>
    </row>
    <row r="327" ht="15.75" customHeight="1">
      <c r="A327" s="9">
        <v>326.0</v>
      </c>
      <c r="B327" s="6" t="s">
        <v>20</v>
      </c>
      <c r="C327" s="11">
        <v>21390.0</v>
      </c>
      <c r="D327" s="9">
        <v>8.0</v>
      </c>
      <c r="E327" s="6" t="s">
        <v>133</v>
      </c>
      <c r="F327" s="13">
        <v>29550.0</v>
      </c>
      <c r="G327" s="13">
        <v>15750.0</v>
      </c>
      <c r="H327" s="9">
        <v>76.0</v>
      </c>
      <c r="I327" s="9">
        <v>144.0</v>
      </c>
      <c r="J327" s="6" t="s">
        <v>113</v>
      </c>
    </row>
    <row r="328" ht="15.75" customHeight="1">
      <c r="A328" s="9">
        <v>327.0</v>
      </c>
      <c r="B328" s="6" t="s">
        <v>20</v>
      </c>
      <c r="C328" s="11">
        <v>23803.0</v>
      </c>
      <c r="D328" s="9">
        <v>12.0</v>
      </c>
      <c r="E328" s="6" t="s">
        <v>25</v>
      </c>
      <c r="F328" s="13">
        <v>26700.0</v>
      </c>
      <c r="G328" s="13">
        <v>15750.0</v>
      </c>
      <c r="H328" s="9">
        <v>76.0</v>
      </c>
      <c r="I328" s="9">
        <v>18.0</v>
      </c>
      <c r="J328" s="6" t="s">
        <v>113</v>
      </c>
    </row>
    <row r="329" ht="15.75" customHeight="1">
      <c r="A329" s="9">
        <v>328.0</v>
      </c>
      <c r="B329" s="6" t="s">
        <v>20</v>
      </c>
      <c r="C329" s="11">
        <v>19292.0</v>
      </c>
      <c r="D329" s="9">
        <v>18.0</v>
      </c>
      <c r="E329" s="6" t="s">
        <v>26</v>
      </c>
      <c r="F329" s="13">
        <v>55000.0</v>
      </c>
      <c r="G329" s="13">
        <v>32490.0</v>
      </c>
      <c r="H329" s="9">
        <v>75.0</v>
      </c>
      <c r="I329" s="9">
        <v>125.0</v>
      </c>
      <c r="J329" s="6" t="s">
        <v>33</v>
      </c>
    </row>
    <row r="330" ht="15.75" customHeight="1">
      <c r="A330" s="9">
        <v>329.0</v>
      </c>
      <c r="B330" s="6" t="s">
        <v>20</v>
      </c>
      <c r="C330" s="11">
        <v>21421.0</v>
      </c>
      <c r="D330" s="9">
        <v>18.0</v>
      </c>
      <c r="E330" s="6" t="s">
        <v>26</v>
      </c>
      <c r="F330" s="13">
        <v>62500.0</v>
      </c>
      <c r="G330" s="13">
        <v>34980.0</v>
      </c>
      <c r="H330" s="9">
        <v>75.0</v>
      </c>
      <c r="I330" s="9">
        <v>74.0</v>
      </c>
      <c r="J330" s="6" t="s">
        <v>33</v>
      </c>
    </row>
    <row r="331" ht="15.75" customHeight="1">
      <c r="A331" s="9">
        <v>330.0</v>
      </c>
      <c r="B331" s="6" t="s">
        <v>20</v>
      </c>
      <c r="C331" s="11">
        <v>21679.0</v>
      </c>
      <c r="D331" s="9">
        <v>15.0</v>
      </c>
      <c r="E331" s="6" t="s">
        <v>25</v>
      </c>
      <c r="F331" s="13">
        <v>27300.0</v>
      </c>
      <c r="G331" s="13">
        <v>17250.0</v>
      </c>
      <c r="H331" s="9">
        <v>75.0</v>
      </c>
      <c r="I331" s="9">
        <v>132.0</v>
      </c>
      <c r="J331" s="6" t="s">
        <v>33</v>
      </c>
    </row>
    <row r="332" ht="15.75" customHeight="1">
      <c r="A332" s="9">
        <v>331.0</v>
      </c>
      <c r="B332" s="6" t="s">
        <v>43</v>
      </c>
      <c r="C332" s="11">
        <v>15376.0</v>
      </c>
      <c r="D332" s="9">
        <v>12.0</v>
      </c>
      <c r="E332" s="6" t="s">
        <v>25</v>
      </c>
      <c r="F332" s="13">
        <v>24450.0</v>
      </c>
      <c r="G332" s="13">
        <v>12000.0</v>
      </c>
      <c r="H332" s="9">
        <v>75.0</v>
      </c>
      <c r="I332" s="9">
        <v>144.0</v>
      </c>
      <c r="J332" s="6" t="s">
        <v>33</v>
      </c>
    </row>
    <row r="333" ht="15.75" customHeight="1">
      <c r="A333" s="9">
        <v>332.0</v>
      </c>
      <c r="B333" s="6" t="s">
        <v>43</v>
      </c>
      <c r="C333" s="11">
        <v>23507.0</v>
      </c>
      <c r="D333" s="9">
        <v>16.0</v>
      </c>
      <c r="E333" s="6" t="s">
        <v>25</v>
      </c>
      <c r="F333" s="13">
        <v>33000.0</v>
      </c>
      <c r="G333" s="13">
        <v>18000.0</v>
      </c>
      <c r="H333" s="9">
        <v>75.0</v>
      </c>
      <c r="I333" s="9">
        <v>26.0</v>
      </c>
      <c r="J333" s="6" t="s">
        <v>33</v>
      </c>
    </row>
    <row r="334" ht="15.75" customHeight="1">
      <c r="A334" s="9">
        <v>333.0</v>
      </c>
      <c r="B334" s="6" t="s">
        <v>43</v>
      </c>
      <c r="C334" s="11">
        <v>23768.0</v>
      </c>
      <c r="D334" s="9">
        <v>15.0</v>
      </c>
      <c r="E334" s="6" t="s">
        <v>25</v>
      </c>
      <c r="F334" s="13">
        <v>37050.0</v>
      </c>
      <c r="G334" s="13">
        <v>18000.0</v>
      </c>
      <c r="H334" s="9">
        <v>75.0</v>
      </c>
      <c r="I334" s="9">
        <v>5.0</v>
      </c>
      <c r="J334" s="6" t="s">
        <v>33</v>
      </c>
    </row>
    <row r="335" ht="15.75" customHeight="1">
      <c r="A335" s="9">
        <v>334.0</v>
      </c>
      <c r="B335" s="6" t="s">
        <v>43</v>
      </c>
      <c r="C335" s="11">
        <v>24236.0</v>
      </c>
      <c r="D335" s="9">
        <v>12.0</v>
      </c>
      <c r="E335" s="6" t="s">
        <v>25</v>
      </c>
      <c r="F335" s="13">
        <v>24450.0</v>
      </c>
      <c r="G335" s="13">
        <v>10950.0</v>
      </c>
      <c r="H335" s="9">
        <v>75.0</v>
      </c>
      <c r="I335" s="9">
        <v>32.0</v>
      </c>
      <c r="J335" s="6" t="s">
        <v>113</v>
      </c>
    </row>
    <row r="336" ht="15.75" customHeight="1">
      <c r="A336" s="9">
        <v>335.0</v>
      </c>
      <c r="B336" s="6" t="s">
        <v>20</v>
      </c>
      <c r="C336" s="11">
        <v>11015.0</v>
      </c>
      <c r="D336" s="9">
        <v>8.0</v>
      </c>
      <c r="E336" s="6" t="s">
        <v>133</v>
      </c>
      <c r="F336" s="13">
        <v>31950.0</v>
      </c>
      <c r="G336" s="13">
        <v>15750.0</v>
      </c>
      <c r="H336" s="9">
        <v>74.0</v>
      </c>
      <c r="I336" s="9">
        <v>408.0</v>
      </c>
      <c r="J336" s="6" t="s">
        <v>33</v>
      </c>
    </row>
    <row r="337" ht="15.75" customHeight="1">
      <c r="A337" s="9">
        <v>336.0</v>
      </c>
      <c r="B337" s="6" t="s">
        <v>20</v>
      </c>
      <c r="C337" s="11">
        <v>23386.0</v>
      </c>
      <c r="D337" s="9">
        <v>16.0</v>
      </c>
      <c r="E337" s="6" t="s">
        <v>26</v>
      </c>
      <c r="F337" s="13">
        <v>47250.0</v>
      </c>
      <c r="G337" s="13">
        <v>21240.0</v>
      </c>
      <c r="H337" s="9">
        <v>74.0</v>
      </c>
      <c r="I337" s="9">
        <v>45.0</v>
      </c>
      <c r="J337" s="6" t="s">
        <v>33</v>
      </c>
    </row>
    <row r="338" ht="15.75" customHeight="1">
      <c r="A338" s="9">
        <v>337.0</v>
      </c>
      <c r="B338" s="6" t="s">
        <v>43</v>
      </c>
      <c r="C338" s="11">
        <v>25595.0</v>
      </c>
      <c r="D338" s="9">
        <v>12.0</v>
      </c>
      <c r="E338" s="6" t="s">
        <v>25</v>
      </c>
      <c r="F338" s="13">
        <v>26100.0</v>
      </c>
      <c r="G338" s="13">
        <v>11550.0</v>
      </c>
      <c r="H338" s="9">
        <v>74.0</v>
      </c>
      <c r="I338" s="9">
        <v>2.0</v>
      </c>
      <c r="J338" s="6" t="s">
        <v>33</v>
      </c>
    </row>
    <row r="339" ht="15.75" customHeight="1">
      <c r="A339" s="9">
        <v>338.0</v>
      </c>
      <c r="B339" s="6" t="s">
        <v>43</v>
      </c>
      <c r="C339" s="11">
        <v>14104.0</v>
      </c>
      <c r="D339" s="9">
        <v>8.0</v>
      </c>
      <c r="E339" s="6" t="s">
        <v>25</v>
      </c>
      <c r="F339" s="13">
        <v>15900.0</v>
      </c>
      <c r="G339" s="13">
        <v>10200.0</v>
      </c>
      <c r="H339" s="9">
        <v>74.0</v>
      </c>
      <c r="I339" s="9">
        <v>43.0</v>
      </c>
      <c r="J339" s="6" t="s">
        <v>33</v>
      </c>
    </row>
    <row r="340" ht="15.75" customHeight="1">
      <c r="A340" s="9">
        <v>339.0</v>
      </c>
      <c r="B340" s="6" t="s">
        <v>43</v>
      </c>
      <c r="C340" s="11">
        <v>15652.0</v>
      </c>
      <c r="D340" s="9">
        <v>8.0</v>
      </c>
      <c r="E340" s="6" t="s">
        <v>25</v>
      </c>
      <c r="F340" s="13">
        <v>23700.0</v>
      </c>
      <c r="G340" s="13">
        <v>10650.0</v>
      </c>
      <c r="H340" s="9">
        <v>74.0</v>
      </c>
      <c r="I340" s="9">
        <v>281.0</v>
      </c>
      <c r="J340" s="6" t="s">
        <v>33</v>
      </c>
    </row>
    <row r="341" ht="15.75" customHeight="1">
      <c r="A341" s="9">
        <v>340.0</v>
      </c>
      <c r="B341" s="6" t="s">
        <v>43</v>
      </c>
      <c r="C341" s="11">
        <v>12545.0</v>
      </c>
      <c r="D341" s="9">
        <v>8.0</v>
      </c>
      <c r="E341" s="6" t="s">
        <v>25</v>
      </c>
      <c r="F341" s="13">
        <v>21750.0</v>
      </c>
      <c r="G341" s="13">
        <v>12450.0</v>
      </c>
      <c r="H341" s="9">
        <v>74.0</v>
      </c>
      <c r="I341" s="9">
        <v>318.0</v>
      </c>
      <c r="J341" s="6" t="s">
        <v>33</v>
      </c>
    </row>
    <row r="342" ht="15.75" customHeight="1">
      <c r="A342" s="9">
        <v>341.0</v>
      </c>
      <c r="B342" s="6" t="s">
        <v>20</v>
      </c>
      <c r="C342" s="11">
        <v>16457.0</v>
      </c>
      <c r="D342" s="9">
        <v>12.0</v>
      </c>
      <c r="E342" s="6" t="s">
        <v>26</v>
      </c>
      <c r="F342" s="13">
        <v>59400.0</v>
      </c>
      <c r="G342" s="13">
        <v>33750.0</v>
      </c>
      <c r="H342" s="9">
        <v>74.0</v>
      </c>
      <c r="I342" s="9">
        <v>272.0</v>
      </c>
      <c r="J342" s="6" t="s">
        <v>113</v>
      </c>
    </row>
    <row r="343" ht="15.75" customHeight="1">
      <c r="A343" s="9">
        <v>342.0</v>
      </c>
      <c r="B343" s="6" t="s">
        <v>43</v>
      </c>
      <c r="C343" s="11">
        <v>17685.0</v>
      </c>
      <c r="D343" s="9">
        <v>12.0</v>
      </c>
      <c r="E343" s="6" t="s">
        <v>25</v>
      </c>
      <c r="F343" s="13">
        <v>24450.0</v>
      </c>
      <c r="G343" s="13">
        <v>14250.0</v>
      </c>
      <c r="H343" s="9">
        <v>74.0</v>
      </c>
      <c r="I343" s="9">
        <v>117.0</v>
      </c>
      <c r="J343" s="6" t="s">
        <v>113</v>
      </c>
    </row>
    <row r="344" ht="15.75" customHeight="1">
      <c r="A344" s="9">
        <v>343.0</v>
      </c>
      <c r="B344" s="6" t="s">
        <v>20</v>
      </c>
      <c r="C344" s="11">
        <v>19519.0</v>
      </c>
      <c r="D344" s="9">
        <v>16.0</v>
      </c>
      <c r="E344" s="6" t="s">
        <v>26</v>
      </c>
      <c r="F344" s="13">
        <v>103500.0</v>
      </c>
      <c r="G344" s="13">
        <v>60000.0</v>
      </c>
      <c r="H344" s="9">
        <v>73.0</v>
      </c>
      <c r="I344" s="9">
        <v>150.0</v>
      </c>
      <c r="J344" s="6" t="s">
        <v>33</v>
      </c>
    </row>
    <row r="345" ht="15.75" customHeight="1">
      <c r="A345" s="9">
        <v>344.0</v>
      </c>
      <c r="B345" s="6" t="s">
        <v>20</v>
      </c>
      <c r="C345" s="11">
        <v>23297.0</v>
      </c>
      <c r="D345" s="9">
        <v>12.0</v>
      </c>
      <c r="E345" s="6" t="s">
        <v>25</v>
      </c>
      <c r="F345" s="13">
        <v>35700.0</v>
      </c>
      <c r="G345" s="13">
        <v>16500.0</v>
      </c>
      <c r="H345" s="9">
        <v>73.0</v>
      </c>
      <c r="I345" s="9">
        <v>72.0</v>
      </c>
      <c r="J345" s="6" t="s">
        <v>33</v>
      </c>
    </row>
    <row r="346" ht="15.75" customHeight="1">
      <c r="A346" s="9">
        <v>345.0</v>
      </c>
      <c r="B346" s="6" t="s">
        <v>43</v>
      </c>
      <c r="C346" s="11">
        <v>25328.0</v>
      </c>
      <c r="D346" s="9">
        <v>12.0</v>
      </c>
      <c r="E346" s="6" t="s">
        <v>25</v>
      </c>
      <c r="F346" s="13">
        <v>22200.0</v>
      </c>
      <c r="G346" s="13">
        <v>16500.0</v>
      </c>
      <c r="H346" s="9">
        <v>73.0</v>
      </c>
      <c r="I346" s="9">
        <v>7.0</v>
      </c>
      <c r="J346" s="6" t="s">
        <v>33</v>
      </c>
    </row>
    <row r="347" ht="15.75" customHeight="1">
      <c r="A347" s="9">
        <v>346.0</v>
      </c>
      <c r="B347" s="6" t="s">
        <v>43</v>
      </c>
      <c r="C347" s="11">
        <v>25066.0</v>
      </c>
      <c r="D347" s="9">
        <v>15.0</v>
      </c>
      <c r="E347" s="6" t="s">
        <v>25</v>
      </c>
      <c r="F347" s="13">
        <v>22950.0</v>
      </c>
      <c r="G347" s="13">
        <v>13950.0</v>
      </c>
      <c r="H347" s="9">
        <v>73.0</v>
      </c>
      <c r="I347" s="9">
        <v>22.0</v>
      </c>
      <c r="J347" s="6" t="s">
        <v>33</v>
      </c>
    </row>
    <row r="348" ht="15.75" customHeight="1">
      <c r="A348" s="9">
        <v>347.0</v>
      </c>
      <c r="B348" s="6" t="s">
        <v>43</v>
      </c>
      <c r="C348" s="11">
        <v>16294.0</v>
      </c>
      <c r="D348" s="9">
        <v>12.0</v>
      </c>
      <c r="E348" s="6" t="s">
        <v>25</v>
      </c>
      <c r="F348" s="13">
        <v>23100.0</v>
      </c>
      <c r="G348" s="13">
        <v>12000.0</v>
      </c>
      <c r="H348" s="9">
        <v>73.0</v>
      </c>
      <c r="I348" s="9">
        <v>228.0</v>
      </c>
      <c r="J348" s="6" t="s">
        <v>33</v>
      </c>
    </row>
    <row r="349" ht="15.75" customHeight="1">
      <c r="A349" s="9">
        <v>348.0</v>
      </c>
      <c r="B349" s="6" t="s">
        <v>43</v>
      </c>
      <c r="C349" s="11">
        <v>22808.0</v>
      </c>
      <c r="D349" s="9">
        <v>16.0</v>
      </c>
      <c r="E349" s="6" t="s">
        <v>26</v>
      </c>
      <c r="F349" s="13">
        <v>56750.0</v>
      </c>
      <c r="G349" s="13">
        <v>30000.0</v>
      </c>
      <c r="H349" s="9">
        <v>73.0</v>
      </c>
      <c r="I349" s="9">
        <v>15.0</v>
      </c>
      <c r="J349" s="6" t="s">
        <v>33</v>
      </c>
    </row>
    <row r="350" ht="15.75" customHeight="1">
      <c r="A350" s="9">
        <v>349.0</v>
      </c>
      <c r="B350" s="6" t="s">
        <v>43</v>
      </c>
      <c r="C350" s="11">
        <v>13961.0</v>
      </c>
      <c r="D350" s="9">
        <v>17.0</v>
      </c>
      <c r="E350" s="6" t="s">
        <v>25</v>
      </c>
      <c r="F350" s="13">
        <v>29100.0</v>
      </c>
      <c r="G350" s="13">
        <v>12750.0</v>
      </c>
      <c r="H350" s="9">
        <v>73.0</v>
      </c>
      <c r="I350" s="9">
        <v>375.0</v>
      </c>
      <c r="J350" s="6" t="s">
        <v>33</v>
      </c>
    </row>
    <row r="351" ht="15.75" customHeight="1">
      <c r="A351" s="9">
        <v>350.0</v>
      </c>
      <c r="B351" s="6" t="s">
        <v>43</v>
      </c>
      <c r="C351" s="11">
        <v>14356.0</v>
      </c>
      <c r="D351" s="9">
        <v>12.0</v>
      </c>
      <c r="E351" s="6" t="s">
        <v>25</v>
      </c>
      <c r="F351" s="13">
        <v>37650.0</v>
      </c>
      <c r="G351" s="13">
        <v>15750.0</v>
      </c>
      <c r="H351" s="9">
        <v>73.0</v>
      </c>
      <c r="I351" s="9">
        <v>132.0</v>
      </c>
      <c r="J351" s="6" t="s">
        <v>33</v>
      </c>
    </row>
    <row r="352" ht="15.75" customHeight="1">
      <c r="A352" s="9">
        <v>351.0</v>
      </c>
      <c r="B352" s="6" t="s">
        <v>43</v>
      </c>
      <c r="C352" s="11">
        <v>24134.0</v>
      </c>
      <c r="D352" s="9">
        <v>12.0</v>
      </c>
      <c r="E352" s="6" t="s">
        <v>25</v>
      </c>
      <c r="F352" s="13">
        <v>27900.0</v>
      </c>
      <c r="G352" s="13">
        <v>13500.0</v>
      </c>
      <c r="H352" s="9">
        <v>73.0</v>
      </c>
      <c r="I352" s="9">
        <v>32.0</v>
      </c>
      <c r="J352" s="6" t="s">
        <v>33</v>
      </c>
    </row>
    <row r="353" ht="15.75" customHeight="1">
      <c r="A353" s="9">
        <v>352.0</v>
      </c>
      <c r="B353" s="6" t="s">
        <v>43</v>
      </c>
      <c r="C353" s="11">
        <v>12384.0</v>
      </c>
      <c r="D353" s="9">
        <v>8.0</v>
      </c>
      <c r="E353" s="6" t="s">
        <v>25</v>
      </c>
      <c r="F353" s="13">
        <v>21150.0</v>
      </c>
      <c r="G353" s="13">
        <v>12000.0</v>
      </c>
      <c r="H353" s="9">
        <v>73.0</v>
      </c>
      <c r="I353" s="9">
        <v>159.0</v>
      </c>
      <c r="J353" s="6" t="s">
        <v>33</v>
      </c>
    </row>
    <row r="354" ht="15.75" customHeight="1">
      <c r="A354" s="9">
        <v>353.0</v>
      </c>
      <c r="B354" s="6" t="s">
        <v>20</v>
      </c>
      <c r="C354" s="11">
        <v>20158.0</v>
      </c>
      <c r="D354" s="9">
        <v>12.0</v>
      </c>
      <c r="E354" s="6" t="s">
        <v>133</v>
      </c>
      <c r="F354" s="13">
        <v>31200.0</v>
      </c>
      <c r="G354" s="13">
        <v>15750.0</v>
      </c>
      <c r="H354" s="9">
        <v>73.0</v>
      </c>
      <c r="I354" s="9">
        <v>155.0</v>
      </c>
      <c r="J354" s="6" t="s">
        <v>113</v>
      </c>
    </row>
    <row r="355" ht="15.75" customHeight="1">
      <c r="A355" s="9">
        <v>354.0</v>
      </c>
      <c r="B355" s="6" t="s">
        <v>43</v>
      </c>
      <c r="C355" s="11">
        <v>16930.0</v>
      </c>
      <c r="D355" s="9">
        <v>12.0</v>
      </c>
      <c r="E355" s="6" t="s">
        <v>25</v>
      </c>
      <c r="F355" s="13">
        <v>20550.0</v>
      </c>
      <c r="G355" s="13">
        <v>11250.0</v>
      </c>
      <c r="H355" s="9">
        <v>73.0</v>
      </c>
      <c r="I355" s="9">
        <v>154.0</v>
      </c>
      <c r="J355" s="6" t="s">
        <v>113</v>
      </c>
    </row>
    <row r="356" ht="15.75" customHeight="1">
      <c r="A356" s="9">
        <v>355.0</v>
      </c>
      <c r="B356" s="6" t="s">
        <v>20</v>
      </c>
      <c r="C356" s="11">
        <v>22420.0</v>
      </c>
      <c r="D356" s="9">
        <v>15.0</v>
      </c>
      <c r="E356" s="6" t="s">
        <v>25</v>
      </c>
      <c r="F356" s="13">
        <v>25950.0</v>
      </c>
      <c r="G356" s="13">
        <v>17250.0</v>
      </c>
      <c r="H356" s="9">
        <v>72.0</v>
      </c>
      <c r="I356" s="9">
        <v>83.0</v>
      </c>
      <c r="J356" s="6" t="s">
        <v>33</v>
      </c>
    </row>
    <row r="357" ht="15.75" customHeight="1">
      <c r="A357" s="9">
        <v>356.0</v>
      </c>
      <c r="B357" s="6" t="s">
        <v>20</v>
      </c>
      <c r="C357" s="11">
        <v>24056.0</v>
      </c>
      <c r="D357" s="9">
        <v>15.0</v>
      </c>
      <c r="E357" s="6" t="s">
        <v>25</v>
      </c>
      <c r="F357" s="13">
        <v>28350.0</v>
      </c>
      <c r="G357" s="13">
        <v>15000.0</v>
      </c>
      <c r="H357" s="9">
        <v>72.0</v>
      </c>
      <c r="I357" s="9">
        <v>48.0</v>
      </c>
      <c r="J357" s="6" t="s">
        <v>33</v>
      </c>
    </row>
    <row r="358" ht="15.75" customHeight="1">
      <c r="A358" s="9">
        <v>357.0</v>
      </c>
      <c r="B358" s="6" t="s">
        <v>43</v>
      </c>
      <c r="C358" s="11">
        <v>11706.0</v>
      </c>
      <c r="D358" s="9">
        <v>8.0</v>
      </c>
      <c r="E358" s="6" t="s">
        <v>25</v>
      </c>
      <c r="F358" s="13">
        <v>17700.0</v>
      </c>
      <c r="G358" s="13">
        <v>10200.0</v>
      </c>
      <c r="H358" s="9">
        <v>72.0</v>
      </c>
      <c r="I358" s="9">
        <v>184.0</v>
      </c>
      <c r="J358" s="6" t="s">
        <v>33</v>
      </c>
    </row>
    <row r="359" ht="15.75" customHeight="1">
      <c r="A359" s="9">
        <v>358.0</v>
      </c>
      <c r="B359" s="6" t="s">
        <v>43</v>
      </c>
      <c r="C359" s="11">
        <v>16173.0</v>
      </c>
      <c r="D359" s="9">
        <v>15.0</v>
      </c>
      <c r="E359" s="6" t="s">
        <v>25</v>
      </c>
      <c r="F359" s="13">
        <v>23550.0</v>
      </c>
      <c r="G359" s="13">
        <v>13500.0</v>
      </c>
      <c r="H359" s="9">
        <v>72.0</v>
      </c>
      <c r="I359" s="9">
        <v>49.0</v>
      </c>
      <c r="J359" s="6" t="s">
        <v>33</v>
      </c>
    </row>
    <row r="360" ht="15.75" customHeight="1">
      <c r="A360" s="9">
        <v>359.0</v>
      </c>
      <c r="B360" s="6" t="s">
        <v>43</v>
      </c>
      <c r="C360" s="11">
        <v>15139.0</v>
      </c>
      <c r="D360" s="9">
        <v>12.0</v>
      </c>
      <c r="E360" s="6" t="s">
        <v>25</v>
      </c>
      <c r="F360" s="13">
        <v>19950.0</v>
      </c>
      <c r="G360" s="13">
        <v>10200.0</v>
      </c>
      <c r="H360" s="9">
        <v>72.0</v>
      </c>
      <c r="I360" s="9">
        <v>56.0</v>
      </c>
      <c r="J360" s="6" t="s">
        <v>33</v>
      </c>
    </row>
    <row r="361" ht="15.75" customHeight="1">
      <c r="A361" s="9">
        <v>360.0</v>
      </c>
      <c r="B361" s="6" t="s">
        <v>43</v>
      </c>
      <c r="C361" s="11">
        <v>25061.0</v>
      </c>
      <c r="D361" s="9">
        <v>12.0</v>
      </c>
      <c r="E361" s="6" t="s">
        <v>25</v>
      </c>
      <c r="F361" s="13">
        <v>29400.0</v>
      </c>
      <c r="G361" s="13">
        <v>15300.0</v>
      </c>
      <c r="H361" s="9">
        <v>72.0</v>
      </c>
      <c r="I361" s="9">
        <v>30.0</v>
      </c>
      <c r="J361" s="6" t="s">
        <v>33</v>
      </c>
    </row>
    <row r="362" ht="15.75" customHeight="1">
      <c r="A362" s="9">
        <v>361.0</v>
      </c>
      <c r="B362" s="6" t="s">
        <v>43</v>
      </c>
      <c r="C362" s="11">
        <v>24267.0</v>
      </c>
      <c r="D362" s="9">
        <v>12.0</v>
      </c>
      <c r="E362" s="6" t="s">
        <v>25</v>
      </c>
      <c r="F362" s="13">
        <v>28800.0</v>
      </c>
      <c r="G362" s="13">
        <v>13950.0</v>
      </c>
      <c r="H362" s="9">
        <v>72.0</v>
      </c>
      <c r="I362" s="9">
        <v>18.0</v>
      </c>
      <c r="J362" s="6" t="s">
        <v>33</v>
      </c>
    </row>
    <row r="363" ht="15.75" customHeight="1">
      <c r="A363" s="9">
        <v>362.0</v>
      </c>
      <c r="B363" s="6" t="s">
        <v>43</v>
      </c>
      <c r="C363" s="11">
        <v>13613.0</v>
      </c>
      <c r="D363" s="9">
        <v>8.0</v>
      </c>
      <c r="E363" s="6" t="s">
        <v>25</v>
      </c>
      <c r="F363" s="13">
        <v>16950.0</v>
      </c>
      <c r="G363" s="13">
        <v>10200.0</v>
      </c>
      <c r="H363" s="9">
        <v>72.0</v>
      </c>
      <c r="I363" s="9">
        <v>319.0</v>
      </c>
      <c r="J363" s="6" t="s">
        <v>33</v>
      </c>
    </row>
    <row r="364" ht="15.75" customHeight="1">
      <c r="A364" s="9">
        <v>363.0</v>
      </c>
      <c r="B364" s="6" t="s">
        <v>20</v>
      </c>
      <c r="C364" s="11">
        <v>19878.0</v>
      </c>
      <c r="D364" s="9">
        <v>16.0</v>
      </c>
      <c r="E364" s="6" t="s">
        <v>25</v>
      </c>
      <c r="F364" s="13">
        <v>35700.0</v>
      </c>
      <c r="G364" s="13">
        <v>18000.0</v>
      </c>
      <c r="H364" s="9">
        <v>72.0</v>
      </c>
      <c r="I364" s="9">
        <v>138.0</v>
      </c>
      <c r="J364" s="6" t="s">
        <v>113</v>
      </c>
    </row>
    <row r="365" ht="15.75" customHeight="1">
      <c r="A365" s="9">
        <v>364.0</v>
      </c>
      <c r="B365" s="6" t="s">
        <v>43</v>
      </c>
      <c r="C365" s="11">
        <v>17252.0</v>
      </c>
      <c r="D365" s="9">
        <v>12.0</v>
      </c>
      <c r="E365" s="6" t="s">
        <v>25</v>
      </c>
      <c r="F365" s="13">
        <v>17400.0</v>
      </c>
      <c r="G365" s="13">
        <v>10200.0</v>
      </c>
      <c r="H365" s="9">
        <v>72.0</v>
      </c>
      <c r="I365" s="9">
        <v>116.0</v>
      </c>
      <c r="J365" s="6" t="s">
        <v>113</v>
      </c>
    </row>
    <row r="366" ht="15.75" customHeight="1">
      <c r="A366" s="9">
        <v>365.0</v>
      </c>
      <c r="B366" s="6" t="s">
        <v>43</v>
      </c>
      <c r="C366" s="11">
        <v>17822.0</v>
      </c>
      <c r="D366" s="9">
        <v>8.0</v>
      </c>
      <c r="E366" s="6" t="s">
        <v>25</v>
      </c>
      <c r="F366" s="13">
        <v>21450.0</v>
      </c>
      <c r="G366" s="13">
        <v>10200.0</v>
      </c>
      <c r="H366" s="9">
        <v>72.0</v>
      </c>
      <c r="I366" s="9">
        <v>194.0</v>
      </c>
      <c r="J366" s="6" t="s">
        <v>113</v>
      </c>
    </row>
    <row r="367" ht="15.75" customHeight="1">
      <c r="A367" s="9">
        <v>366.0</v>
      </c>
      <c r="B367" s="6" t="s">
        <v>43</v>
      </c>
      <c r="C367" s="11">
        <v>22361.0</v>
      </c>
      <c r="D367" s="9">
        <v>12.0</v>
      </c>
      <c r="E367" s="6" t="s">
        <v>25</v>
      </c>
      <c r="F367" s="13">
        <v>24750.0</v>
      </c>
      <c r="G367" s="13">
        <v>12000.0</v>
      </c>
      <c r="H367" s="9">
        <v>72.0</v>
      </c>
      <c r="I367" s="9">
        <v>68.0</v>
      </c>
      <c r="J367" s="6" t="s">
        <v>113</v>
      </c>
    </row>
    <row r="368" ht="15.75" customHeight="1">
      <c r="A368" s="9">
        <v>367.0</v>
      </c>
      <c r="B368" s="6" t="s">
        <v>43</v>
      </c>
      <c r="C368" s="11">
        <v>15483.0</v>
      </c>
      <c r="D368" s="9">
        <v>12.0</v>
      </c>
      <c r="E368" s="6" t="s">
        <v>25</v>
      </c>
      <c r="F368" s="13">
        <v>16950.0</v>
      </c>
      <c r="G368" s="13">
        <v>10200.0</v>
      </c>
      <c r="H368" s="9">
        <v>72.0</v>
      </c>
      <c r="I368" s="9">
        <v>271.0</v>
      </c>
      <c r="J368" s="6" t="s">
        <v>113</v>
      </c>
    </row>
    <row r="369" ht="15.75" customHeight="1">
      <c r="A369" s="9">
        <v>368.0</v>
      </c>
      <c r="B369" s="6" t="s">
        <v>43</v>
      </c>
      <c r="C369" s="11">
        <v>15907.0</v>
      </c>
      <c r="D369" s="9">
        <v>12.0</v>
      </c>
      <c r="E369" s="6" t="s">
        <v>25</v>
      </c>
      <c r="F369" s="13">
        <v>26100.0</v>
      </c>
      <c r="G369" s="13">
        <v>13500.0</v>
      </c>
      <c r="H369" s="9">
        <v>72.0</v>
      </c>
      <c r="I369" s="9">
        <v>169.0</v>
      </c>
      <c r="J369" s="6" t="s">
        <v>113</v>
      </c>
    </row>
    <row r="370" ht="15.75" customHeight="1">
      <c r="A370" s="9">
        <v>369.0</v>
      </c>
      <c r="B370" s="6" t="s">
        <v>20</v>
      </c>
      <c r="C370" s="11">
        <v>24790.0</v>
      </c>
      <c r="D370" s="9">
        <v>14.0</v>
      </c>
      <c r="E370" s="6" t="s">
        <v>25</v>
      </c>
      <c r="F370" s="13">
        <v>28050.0</v>
      </c>
      <c r="G370" s="13">
        <v>15000.0</v>
      </c>
      <c r="H370" s="9">
        <v>71.0</v>
      </c>
      <c r="I370" s="9">
        <v>15.0</v>
      </c>
      <c r="J370" s="6" t="s">
        <v>33</v>
      </c>
    </row>
    <row r="371" ht="15.75" customHeight="1">
      <c r="A371" s="9">
        <v>370.0</v>
      </c>
      <c r="B371" s="6" t="s">
        <v>43</v>
      </c>
      <c r="C371" s="11">
        <v>23031.0</v>
      </c>
      <c r="D371" s="9">
        <v>16.0</v>
      </c>
      <c r="E371" s="6" t="s">
        <v>25</v>
      </c>
      <c r="F371" s="13">
        <v>36600.0</v>
      </c>
      <c r="G371" s="13">
        <v>18000.0</v>
      </c>
      <c r="H371" s="9">
        <v>71.0</v>
      </c>
      <c r="I371" s="9">
        <v>12.0</v>
      </c>
      <c r="J371" s="6" t="s">
        <v>33</v>
      </c>
    </row>
    <row r="372" ht="15.75" customHeight="1">
      <c r="A372" s="9">
        <v>371.0</v>
      </c>
      <c r="B372" s="6" t="s">
        <v>43</v>
      </c>
      <c r="C372" s="11">
        <v>24202.0</v>
      </c>
      <c r="D372" s="9">
        <v>16.0</v>
      </c>
      <c r="E372" s="6" t="s">
        <v>26</v>
      </c>
      <c r="F372" s="13">
        <v>58125.0</v>
      </c>
      <c r="G372" s="13">
        <v>18000.0</v>
      </c>
      <c r="H372" s="9">
        <v>71.0</v>
      </c>
      <c r="I372" s="9">
        <v>11.0</v>
      </c>
      <c r="J372" s="6" t="s">
        <v>33</v>
      </c>
    </row>
    <row r="373" ht="15.75" customHeight="1">
      <c r="A373" s="9">
        <v>372.0</v>
      </c>
      <c r="B373" s="6" t="s">
        <v>20</v>
      </c>
      <c r="C373" s="11">
        <v>13018.0</v>
      </c>
      <c r="D373" s="9">
        <v>15.0</v>
      </c>
      <c r="E373" s="6" t="s">
        <v>25</v>
      </c>
      <c r="F373" s="13">
        <v>21300.0</v>
      </c>
      <c r="G373" s="13">
        <v>15750.0</v>
      </c>
      <c r="H373" s="9">
        <v>70.0</v>
      </c>
      <c r="I373" s="9">
        <v>372.0</v>
      </c>
      <c r="J373" s="6" t="s">
        <v>33</v>
      </c>
    </row>
    <row r="374" ht="15.75" customHeight="1">
      <c r="A374" s="9">
        <v>373.0</v>
      </c>
      <c r="B374" s="6" t="s">
        <v>20</v>
      </c>
      <c r="C374" s="11">
        <v>18200.0</v>
      </c>
      <c r="D374" s="9">
        <v>12.0</v>
      </c>
      <c r="E374" s="6" t="s">
        <v>25</v>
      </c>
      <c r="F374" s="13">
        <v>22500.0</v>
      </c>
      <c r="G374" s="13">
        <v>16500.0</v>
      </c>
      <c r="H374" s="9">
        <v>70.0</v>
      </c>
      <c r="I374" s="9">
        <v>216.0</v>
      </c>
      <c r="J374" s="6" t="s">
        <v>33</v>
      </c>
    </row>
    <row r="375" ht="15.75" customHeight="1">
      <c r="A375" s="9">
        <v>374.0</v>
      </c>
      <c r="B375" s="6" t="s">
        <v>20</v>
      </c>
      <c r="C375" s="11">
        <v>24679.0</v>
      </c>
      <c r="D375" s="9">
        <v>15.0</v>
      </c>
      <c r="E375" s="6" t="s">
        <v>25</v>
      </c>
      <c r="F375" s="13">
        <v>29400.0</v>
      </c>
      <c r="G375" s="13">
        <v>15750.0</v>
      </c>
      <c r="H375" s="9">
        <v>70.0</v>
      </c>
      <c r="I375" s="9">
        <v>15.0</v>
      </c>
      <c r="J375" s="6" t="s">
        <v>33</v>
      </c>
    </row>
    <row r="376" ht="15.75" customHeight="1">
      <c r="A376" s="9">
        <v>375.0</v>
      </c>
      <c r="B376" s="6" t="s">
        <v>20</v>
      </c>
      <c r="C376" s="11">
        <v>24388.0</v>
      </c>
      <c r="D376" s="9">
        <v>12.0</v>
      </c>
      <c r="E376" s="6" t="s">
        <v>25</v>
      </c>
      <c r="F376" s="13">
        <v>27450.0</v>
      </c>
      <c r="G376" s="13">
        <v>14700.0</v>
      </c>
      <c r="H376" s="9">
        <v>70.0</v>
      </c>
      <c r="I376" s="9">
        <v>41.0</v>
      </c>
      <c r="J376" s="6" t="s">
        <v>33</v>
      </c>
    </row>
    <row r="377" ht="15.75" customHeight="1">
      <c r="A377" s="9">
        <v>376.0</v>
      </c>
      <c r="B377" s="6" t="s">
        <v>20</v>
      </c>
      <c r="C377" s="11">
        <v>23659.0</v>
      </c>
      <c r="D377" s="9">
        <v>15.0</v>
      </c>
      <c r="E377" s="6" t="s">
        <v>25</v>
      </c>
      <c r="F377" s="13">
        <v>29850.0</v>
      </c>
      <c r="G377" s="13">
        <v>15750.0</v>
      </c>
      <c r="H377" s="9">
        <v>70.0</v>
      </c>
      <c r="I377" s="9">
        <v>48.0</v>
      </c>
      <c r="J377" s="6" t="s">
        <v>33</v>
      </c>
    </row>
    <row r="378" ht="15.75" customHeight="1">
      <c r="A378" s="9">
        <v>377.0</v>
      </c>
      <c r="B378" s="6" t="s">
        <v>20</v>
      </c>
      <c r="C378" s="11">
        <v>24075.0</v>
      </c>
      <c r="D378" s="9">
        <v>15.0</v>
      </c>
      <c r="E378" s="6" t="s">
        <v>25</v>
      </c>
      <c r="F378" s="13">
        <v>25350.0</v>
      </c>
      <c r="G378" s="13">
        <v>15750.0</v>
      </c>
      <c r="H378" s="9">
        <v>70.0</v>
      </c>
      <c r="I378" s="9">
        <v>56.0</v>
      </c>
      <c r="J378" s="6" t="s">
        <v>33</v>
      </c>
    </row>
    <row r="379" ht="15.75" customHeight="1">
      <c r="A379" s="9">
        <v>378.0</v>
      </c>
      <c r="B379" s="6" t="s">
        <v>43</v>
      </c>
      <c r="C379" s="11">
        <v>11222.0</v>
      </c>
      <c r="D379" s="9">
        <v>8.0</v>
      </c>
      <c r="E379" s="6" t="s">
        <v>25</v>
      </c>
      <c r="F379" s="13">
        <v>15750.0</v>
      </c>
      <c r="G379" s="13">
        <v>10200.0</v>
      </c>
      <c r="H379" s="9">
        <v>70.0</v>
      </c>
      <c r="I379" s="9">
        <v>275.0</v>
      </c>
      <c r="J379" s="6" t="s">
        <v>33</v>
      </c>
    </row>
    <row r="380" ht="15.75" customHeight="1">
      <c r="A380" s="9">
        <v>379.0</v>
      </c>
      <c r="B380" s="6" t="s">
        <v>43</v>
      </c>
      <c r="C380" s="11">
        <v>14012.0</v>
      </c>
      <c r="D380" s="9">
        <v>8.0</v>
      </c>
      <c r="E380" s="6" t="s">
        <v>25</v>
      </c>
      <c r="F380" s="13">
        <v>19650.0</v>
      </c>
      <c r="G380" s="13">
        <v>13050.0</v>
      </c>
      <c r="H380" s="9">
        <v>70.0</v>
      </c>
      <c r="I380" s="9">
        <v>102.0</v>
      </c>
      <c r="J380" s="6" t="s">
        <v>33</v>
      </c>
    </row>
    <row r="381" ht="15.75" customHeight="1">
      <c r="A381" s="9">
        <v>380.0</v>
      </c>
      <c r="B381" s="6" t="s">
        <v>43</v>
      </c>
      <c r="C381" s="11">
        <v>15029.0</v>
      </c>
      <c r="D381" s="9">
        <v>12.0</v>
      </c>
      <c r="E381" s="6" t="s">
        <v>25</v>
      </c>
      <c r="F381" s="13">
        <v>21000.0</v>
      </c>
      <c r="G381" s="13">
        <v>13500.0</v>
      </c>
      <c r="H381" s="9">
        <v>70.0</v>
      </c>
      <c r="I381" s="9">
        <v>82.0</v>
      </c>
      <c r="J381" s="6" t="s">
        <v>33</v>
      </c>
    </row>
    <row r="382" ht="15.75" customHeight="1">
      <c r="A382" s="9">
        <v>381.0</v>
      </c>
      <c r="B382" s="6" t="s">
        <v>20</v>
      </c>
      <c r="C382" s="11">
        <v>16998.0</v>
      </c>
      <c r="D382" s="9">
        <v>17.0</v>
      </c>
      <c r="E382" s="6" t="s">
        <v>25</v>
      </c>
      <c r="F382" s="13">
        <v>27000.0</v>
      </c>
      <c r="G382" s="13">
        <v>18000.0</v>
      </c>
      <c r="H382" s="9">
        <v>70.0</v>
      </c>
      <c r="I382" s="9">
        <v>192.0</v>
      </c>
      <c r="J382" s="6" t="s">
        <v>113</v>
      </c>
    </row>
    <row r="383" ht="15.75" customHeight="1">
      <c r="A383" s="9">
        <v>382.0</v>
      </c>
      <c r="B383" s="6" t="s">
        <v>20</v>
      </c>
      <c r="C383" s="11">
        <v>21843.0</v>
      </c>
      <c r="D383" s="9">
        <v>12.0</v>
      </c>
      <c r="E383" s="6" t="s">
        <v>25</v>
      </c>
      <c r="F383" s="13">
        <v>24000.0</v>
      </c>
      <c r="G383" s="13">
        <v>15750.0</v>
      </c>
      <c r="H383" s="9">
        <v>70.0</v>
      </c>
      <c r="I383" s="9">
        <v>120.0</v>
      </c>
      <c r="J383" s="6" t="s">
        <v>113</v>
      </c>
    </row>
    <row r="384" ht="15.75" customHeight="1">
      <c r="A384" s="9">
        <v>383.0</v>
      </c>
      <c r="B384" s="6" t="s">
        <v>20</v>
      </c>
      <c r="C384" s="11">
        <v>22435.0</v>
      </c>
      <c r="D384" s="9">
        <v>17.0</v>
      </c>
      <c r="E384" s="6" t="s">
        <v>26</v>
      </c>
      <c r="F384" s="13">
        <v>78500.0</v>
      </c>
      <c r="G384" s="13">
        <v>28740.0</v>
      </c>
      <c r="H384" s="9">
        <v>70.0</v>
      </c>
      <c r="I384" s="9">
        <v>67.0</v>
      </c>
      <c r="J384" s="6" t="s">
        <v>113</v>
      </c>
    </row>
    <row r="385" ht="15.75" customHeight="1">
      <c r="A385" s="9">
        <v>384.0</v>
      </c>
      <c r="B385" s="6" t="s">
        <v>43</v>
      </c>
      <c r="C385" s="11">
        <v>20404.0</v>
      </c>
      <c r="D385" s="9">
        <v>12.0</v>
      </c>
      <c r="E385" s="6" t="s">
        <v>25</v>
      </c>
      <c r="F385" s="13">
        <v>20850.0</v>
      </c>
      <c r="G385" s="13">
        <v>13050.0</v>
      </c>
      <c r="H385" s="9">
        <v>70.0</v>
      </c>
      <c r="I385" s="9">
        <v>127.0</v>
      </c>
      <c r="J385" s="6" t="s">
        <v>113</v>
      </c>
    </row>
    <row r="386" ht="15.75" customHeight="1">
      <c r="A386" s="9">
        <v>385.0</v>
      </c>
      <c r="B386" s="6" t="s">
        <v>20</v>
      </c>
      <c r="C386" s="11">
        <v>11232.0</v>
      </c>
      <c r="D386" s="9">
        <v>12.0</v>
      </c>
      <c r="E386" s="6" t="s">
        <v>133</v>
      </c>
      <c r="F386" s="13">
        <v>30000.0</v>
      </c>
      <c r="G386" s="13">
        <v>15750.0</v>
      </c>
      <c r="H386" s="9">
        <v>69.0</v>
      </c>
      <c r="I386" s="9">
        <v>348.0</v>
      </c>
      <c r="J386" s="6" t="s">
        <v>33</v>
      </c>
    </row>
    <row r="387" ht="15.75" customHeight="1">
      <c r="A387" s="9">
        <v>386.0</v>
      </c>
      <c r="B387" s="6" t="s">
        <v>20</v>
      </c>
      <c r="C387" s="11">
        <v>12649.0</v>
      </c>
      <c r="D387" s="9">
        <v>8.0</v>
      </c>
      <c r="E387" s="6" t="s">
        <v>133</v>
      </c>
      <c r="F387" s="13">
        <v>28500.0</v>
      </c>
      <c r="G387" s="13">
        <v>15750.0</v>
      </c>
      <c r="H387" s="9">
        <v>69.0</v>
      </c>
      <c r="I387" s="9">
        <v>174.0</v>
      </c>
      <c r="J387" s="6" t="s">
        <v>33</v>
      </c>
    </row>
    <row r="388" ht="15.75" customHeight="1">
      <c r="A388" s="9">
        <v>387.0</v>
      </c>
      <c r="B388" s="6" t="s">
        <v>20</v>
      </c>
      <c r="C388" s="11">
        <v>23776.0</v>
      </c>
      <c r="D388" s="9">
        <v>19.0</v>
      </c>
      <c r="E388" s="6" t="s">
        <v>26</v>
      </c>
      <c r="F388" s="13">
        <v>65000.0</v>
      </c>
      <c r="G388" s="13">
        <v>31980.0</v>
      </c>
      <c r="H388" s="9">
        <v>69.0</v>
      </c>
      <c r="I388" s="9">
        <v>74.0</v>
      </c>
      <c r="J388" s="6" t="s">
        <v>33</v>
      </c>
    </row>
    <row r="389" ht="15.75" customHeight="1">
      <c r="A389" s="9">
        <v>388.0</v>
      </c>
      <c r="B389" s="6" t="s">
        <v>20</v>
      </c>
      <c r="C389" s="11">
        <v>21552.0</v>
      </c>
      <c r="D389" s="9">
        <v>14.0</v>
      </c>
      <c r="E389" s="6" t="s">
        <v>25</v>
      </c>
      <c r="F389" s="13">
        <v>30150.0</v>
      </c>
      <c r="G389" s="13">
        <v>16500.0</v>
      </c>
      <c r="H389" s="9">
        <v>69.0</v>
      </c>
      <c r="I389" s="9">
        <v>110.0</v>
      </c>
      <c r="J389" s="6" t="s">
        <v>33</v>
      </c>
    </row>
    <row r="390" ht="15.75" customHeight="1">
      <c r="A390" s="9">
        <v>389.0</v>
      </c>
      <c r="B390" s="6" t="s">
        <v>20</v>
      </c>
      <c r="C390" s="11">
        <v>21655.0</v>
      </c>
      <c r="D390" s="9">
        <v>19.0</v>
      </c>
      <c r="E390" s="6" t="s">
        <v>26</v>
      </c>
      <c r="F390" s="13">
        <v>66875.0</v>
      </c>
      <c r="G390" s="13">
        <v>32490.0</v>
      </c>
      <c r="H390" s="9">
        <v>69.0</v>
      </c>
      <c r="I390" s="9">
        <v>81.0</v>
      </c>
      <c r="J390" s="6" t="s">
        <v>33</v>
      </c>
    </row>
    <row r="391" ht="15.75" customHeight="1">
      <c r="A391" s="9">
        <v>390.0</v>
      </c>
      <c r="B391" s="6" t="s">
        <v>43</v>
      </c>
      <c r="C391" s="11">
        <v>25151.0</v>
      </c>
      <c r="D391" s="9">
        <v>15.0</v>
      </c>
      <c r="E391" s="6" t="s">
        <v>25</v>
      </c>
      <c r="F391" s="13">
        <v>24150.0</v>
      </c>
      <c r="G391" s="13">
        <v>13500.0</v>
      </c>
      <c r="H391" s="9">
        <v>69.0</v>
      </c>
      <c r="I391" s="9">
        <v>7.0</v>
      </c>
      <c r="J391" s="6" t="s">
        <v>33</v>
      </c>
    </row>
    <row r="392" ht="15.75" customHeight="1">
      <c r="A392" s="9">
        <v>391.0</v>
      </c>
      <c r="B392" s="6" t="s">
        <v>43</v>
      </c>
      <c r="C392" s="11">
        <v>25215.0</v>
      </c>
      <c r="D392" s="9">
        <v>12.0</v>
      </c>
      <c r="E392" s="6" t="s">
        <v>25</v>
      </c>
      <c r="F392" s="13">
        <v>24450.0</v>
      </c>
      <c r="G392" s="13">
        <v>12450.0</v>
      </c>
      <c r="H392" s="9">
        <v>69.0</v>
      </c>
      <c r="I392" s="9">
        <v>12.0</v>
      </c>
      <c r="J392" s="6" t="s">
        <v>33</v>
      </c>
    </row>
    <row r="393" ht="15.75" customHeight="1">
      <c r="A393" s="9">
        <v>392.0</v>
      </c>
      <c r="B393" s="6" t="s">
        <v>43</v>
      </c>
      <c r="C393" s="11">
        <v>25700.0</v>
      </c>
      <c r="D393" s="9">
        <v>12.0</v>
      </c>
      <c r="E393" s="6" t="s">
        <v>25</v>
      </c>
      <c r="F393" s="13">
        <v>21600.0</v>
      </c>
      <c r="G393" s="13">
        <v>12000.0</v>
      </c>
      <c r="H393" s="9">
        <v>69.0</v>
      </c>
      <c r="I393" s="9"/>
      <c r="J393" s="6" t="s">
        <v>33</v>
      </c>
    </row>
    <row r="394" ht="15.75" customHeight="1">
      <c r="A394" s="9">
        <v>393.0</v>
      </c>
      <c r="B394" s="6" t="s">
        <v>43</v>
      </c>
      <c r="C394" s="11">
        <v>25378.0</v>
      </c>
      <c r="D394" s="9">
        <v>12.0</v>
      </c>
      <c r="E394" s="6" t="s">
        <v>25</v>
      </c>
      <c r="F394" s="13">
        <v>27900.0</v>
      </c>
      <c r="G394" s="13">
        <v>12450.0</v>
      </c>
      <c r="H394" s="9">
        <v>69.0</v>
      </c>
      <c r="I394" s="9"/>
      <c r="J394" s="6" t="s">
        <v>33</v>
      </c>
    </row>
    <row r="395" ht="15.75" customHeight="1">
      <c r="A395" s="9">
        <v>394.0</v>
      </c>
      <c r="B395" s="6" t="s">
        <v>43</v>
      </c>
      <c r="C395" s="11">
        <v>25603.0</v>
      </c>
      <c r="D395" s="9">
        <v>8.0</v>
      </c>
      <c r="E395" s="6" t="s">
        <v>25</v>
      </c>
      <c r="F395" s="13">
        <v>29100.0</v>
      </c>
      <c r="G395" s="13">
        <v>12450.0</v>
      </c>
      <c r="H395" s="9">
        <v>69.0</v>
      </c>
      <c r="I395" s="9">
        <v>17.0</v>
      </c>
      <c r="J395" s="6" t="s">
        <v>33</v>
      </c>
    </row>
    <row r="396" ht="15.75" customHeight="1">
      <c r="A396" s="9">
        <v>395.0</v>
      </c>
      <c r="B396" s="6" t="s">
        <v>43</v>
      </c>
      <c r="C396" s="11">
        <v>25636.0</v>
      </c>
      <c r="D396" s="9">
        <v>12.0</v>
      </c>
      <c r="E396" s="6" t="s">
        <v>25</v>
      </c>
      <c r="F396" s="13">
        <v>22650.0</v>
      </c>
      <c r="G396" s="13">
        <v>11250.0</v>
      </c>
      <c r="H396" s="9">
        <v>69.0</v>
      </c>
      <c r="I396" s="9">
        <v>2.0</v>
      </c>
      <c r="J396" s="6" t="s">
        <v>33</v>
      </c>
    </row>
    <row r="397" ht="15.75" customHeight="1">
      <c r="A397" s="9">
        <v>396.0</v>
      </c>
      <c r="B397" s="6" t="s">
        <v>43</v>
      </c>
      <c r="C397" s="11">
        <v>25797.0</v>
      </c>
      <c r="D397" s="9">
        <v>12.0</v>
      </c>
      <c r="E397" s="6" t="s">
        <v>25</v>
      </c>
      <c r="F397" s="13">
        <v>20850.0</v>
      </c>
      <c r="G397" s="13">
        <v>11250.0</v>
      </c>
      <c r="H397" s="9">
        <v>69.0</v>
      </c>
      <c r="I397" s="9"/>
      <c r="J397" s="6" t="s">
        <v>33</v>
      </c>
    </row>
    <row r="398" ht="15.75" customHeight="1">
      <c r="A398" s="9">
        <v>397.0</v>
      </c>
      <c r="B398" s="6" t="s">
        <v>43</v>
      </c>
      <c r="C398" s="11">
        <v>25585.0</v>
      </c>
      <c r="D398" s="9">
        <v>12.0</v>
      </c>
      <c r="E398" s="6" t="s">
        <v>25</v>
      </c>
      <c r="F398" s="13">
        <v>22950.0</v>
      </c>
      <c r="G398" s="13">
        <v>12300.0</v>
      </c>
      <c r="H398" s="9">
        <v>69.0</v>
      </c>
      <c r="I398" s="9">
        <v>5.0</v>
      </c>
      <c r="J398" s="6" t="s">
        <v>33</v>
      </c>
    </row>
    <row r="399" ht="15.75" customHeight="1">
      <c r="A399" s="9">
        <v>398.0</v>
      </c>
      <c r="B399" s="6" t="s">
        <v>43</v>
      </c>
      <c r="C399" s="11">
        <v>25893.0</v>
      </c>
      <c r="D399" s="9">
        <v>12.0</v>
      </c>
      <c r="E399" s="6" t="s">
        <v>25</v>
      </c>
      <c r="F399" s="13">
        <v>30600.0</v>
      </c>
      <c r="G399" s="13">
        <v>12450.0</v>
      </c>
      <c r="H399" s="9">
        <v>69.0</v>
      </c>
      <c r="I399" s="9">
        <v>5.0</v>
      </c>
      <c r="J399" s="6" t="s">
        <v>33</v>
      </c>
    </row>
    <row r="400" ht="15.75" customHeight="1">
      <c r="A400" s="9">
        <v>399.0</v>
      </c>
      <c r="B400" s="6" t="s">
        <v>43</v>
      </c>
      <c r="C400" s="11">
        <v>25605.0</v>
      </c>
      <c r="D400" s="9">
        <v>12.0</v>
      </c>
      <c r="E400" s="6" t="s">
        <v>25</v>
      </c>
      <c r="F400" s="13">
        <v>20400.0</v>
      </c>
      <c r="G400" s="13">
        <v>11250.0</v>
      </c>
      <c r="H400" s="9">
        <v>69.0</v>
      </c>
      <c r="I400" s="9"/>
      <c r="J400" s="6" t="s">
        <v>33</v>
      </c>
    </row>
    <row r="401" ht="15.75" customHeight="1">
      <c r="A401" s="9">
        <v>400.0</v>
      </c>
      <c r="B401" s="6" t="s">
        <v>43</v>
      </c>
      <c r="C401" s="11">
        <v>25421.0</v>
      </c>
      <c r="D401" s="9">
        <v>12.0</v>
      </c>
      <c r="E401" s="6" t="s">
        <v>25</v>
      </c>
      <c r="F401" s="13">
        <v>23850.0</v>
      </c>
      <c r="G401" s="13">
        <v>12750.0</v>
      </c>
      <c r="H401" s="9">
        <v>69.0</v>
      </c>
      <c r="I401" s="9">
        <v>20.0</v>
      </c>
      <c r="J401" s="6" t="s">
        <v>33</v>
      </c>
    </row>
    <row r="402" ht="15.75" customHeight="1">
      <c r="A402" s="9">
        <v>401.0</v>
      </c>
      <c r="B402" s="6" t="s">
        <v>43</v>
      </c>
      <c r="C402" s="11">
        <v>25641.0</v>
      </c>
      <c r="D402" s="9">
        <v>12.0</v>
      </c>
      <c r="E402" s="6" t="s">
        <v>25</v>
      </c>
      <c r="F402" s="13">
        <v>22800.0</v>
      </c>
      <c r="G402" s="13">
        <v>11250.0</v>
      </c>
      <c r="H402" s="9">
        <v>69.0</v>
      </c>
      <c r="I402" s="9"/>
      <c r="J402" s="6" t="s">
        <v>33</v>
      </c>
    </row>
    <row r="403" ht="15.75" customHeight="1">
      <c r="A403" s="9">
        <v>402.0</v>
      </c>
      <c r="B403" s="6" t="s">
        <v>43</v>
      </c>
      <c r="C403" s="11">
        <v>25606.0</v>
      </c>
      <c r="D403" s="9">
        <v>12.0</v>
      </c>
      <c r="E403" s="6" t="s">
        <v>25</v>
      </c>
      <c r="F403" s="13">
        <v>20700.0</v>
      </c>
      <c r="G403" s="13">
        <v>11250.0</v>
      </c>
      <c r="H403" s="9">
        <v>69.0</v>
      </c>
      <c r="I403" s="9">
        <v>2.0</v>
      </c>
      <c r="J403" s="6" t="s">
        <v>33</v>
      </c>
    </row>
    <row r="404" ht="15.75" customHeight="1">
      <c r="A404" s="9">
        <v>403.0</v>
      </c>
      <c r="B404" s="6" t="s">
        <v>43</v>
      </c>
      <c r="C404" s="11">
        <v>25686.0</v>
      </c>
      <c r="D404" s="9">
        <v>12.0</v>
      </c>
      <c r="E404" s="6" t="s">
        <v>25</v>
      </c>
      <c r="F404" s="13">
        <v>21300.0</v>
      </c>
      <c r="G404" s="13">
        <v>11250.0</v>
      </c>
      <c r="H404" s="9">
        <v>69.0</v>
      </c>
      <c r="I404" s="9">
        <v>3.0</v>
      </c>
      <c r="J404" s="6" t="s">
        <v>113</v>
      </c>
    </row>
    <row r="405" ht="15.75" customHeight="1">
      <c r="A405" s="9">
        <v>404.0</v>
      </c>
      <c r="B405" s="6" t="s">
        <v>43</v>
      </c>
      <c r="C405" s="11">
        <v>19480.0</v>
      </c>
      <c r="D405" s="9">
        <v>12.0</v>
      </c>
      <c r="E405" s="6" t="s">
        <v>25</v>
      </c>
      <c r="F405" s="13">
        <v>24300.0</v>
      </c>
      <c r="G405" s="13">
        <v>15000.0</v>
      </c>
      <c r="H405" s="9">
        <v>69.0</v>
      </c>
      <c r="I405" s="9">
        <v>121.0</v>
      </c>
      <c r="J405" s="6" t="s">
        <v>113</v>
      </c>
    </row>
    <row r="406" ht="15.75" customHeight="1">
      <c r="A406" s="9">
        <v>405.0</v>
      </c>
      <c r="B406" s="6" t="s">
        <v>43</v>
      </c>
      <c r="C406" s="11">
        <v>16265.0</v>
      </c>
      <c r="D406" s="9">
        <v>12.0</v>
      </c>
      <c r="E406" s="6" t="s">
        <v>25</v>
      </c>
      <c r="F406" s="13">
        <v>19650.0</v>
      </c>
      <c r="G406" s="13">
        <v>13950.0</v>
      </c>
      <c r="H406" s="9">
        <v>69.0</v>
      </c>
      <c r="I406" s="9">
        <v>133.0</v>
      </c>
      <c r="J406" s="6" t="s">
        <v>113</v>
      </c>
    </row>
    <row r="407" ht="15.75" customHeight="1">
      <c r="A407" s="9">
        <v>406.0</v>
      </c>
      <c r="B407" s="6" t="s">
        <v>20</v>
      </c>
      <c r="C407" s="11">
        <v>24020.0</v>
      </c>
      <c r="D407" s="9">
        <v>17.0</v>
      </c>
      <c r="E407" s="6" t="s">
        <v>26</v>
      </c>
      <c r="F407" s="13">
        <v>60000.0</v>
      </c>
      <c r="G407" s="13">
        <v>32490.0</v>
      </c>
      <c r="H407" s="9">
        <v>68.0</v>
      </c>
      <c r="I407" s="9">
        <v>17.0</v>
      </c>
      <c r="J407" s="6" t="s">
        <v>33</v>
      </c>
    </row>
    <row r="408" ht="15.75" customHeight="1">
      <c r="A408" s="9">
        <v>407.0</v>
      </c>
      <c r="B408" s="6" t="s">
        <v>20</v>
      </c>
      <c r="C408" s="11">
        <v>23991.0</v>
      </c>
      <c r="D408" s="9">
        <v>15.0</v>
      </c>
      <c r="E408" s="6" t="s">
        <v>25</v>
      </c>
      <c r="F408" s="13">
        <v>30300.0</v>
      </c>
      <c r="G408" s="13">
        <v>15750.0</v>
      </c>
      <c r="H408" s="9">
        <v>68.0</v>
      </c>
      <c r="I408" s="9">
        <v>55.0</v>
      </c>
      <c r="J408" s="6" t="s">
        <v>33</v>
      </c>
    </row>
    <row r="409" ht="15.75" customHeight="1">
      <c r="A409" s="9">
        <v>408.0</v>
      </c>
      <c r="B409" s="6" t="s">
        <v>20</v>
      </c>
      <c r="C409" s="11">
        <v>23419.0</v>
      </c>
      <c r="D409" s="9">
        <v>19.0</v>
      </c>
      <c r="E409" s="6" t="s">
        <v>26</v>
      </c>
      <c r="F409" s="13">
        <v>61250.0</v>
      </c>
      <c r="G409" s="13">
        <v>33000.0</v>
      </c>
      <c r="H409" s="9">
        <v>68.0</v>
      </c>
      <c r="I409" s="9">
        <v>9.0</v>
      </c>
      <c r="J409" s="6" t="s">
        <v>33</v>
      </c>
    </row>
    <row r="410" ht="15.75" customHeight="1">
      <c r="A410" s="9">
        <v>409.0</v>
      </c>
      <c r="B410" s="6" t="s">
        <v>20</v>
      </c>
      <c r="C410" s="11">
        <v>22971.0</v>
      </c>
      <c r="D410" s="9">
        <v>19.0</v>
      </c>
      <c r="E410" s="6" t="s">
        <v>25</v>
      </c>
      <c r="F410" s="13">
        <v>36000.0</v>
      </c>
      <c r="G410" s="13">
        <v>19500.0</v>
      </c>
      <c r="H410" s="9">
        <v>68.0</v>
      </c>
      <c r="I410" s="9">
        <v>21.0</v>
      </c>
      <c r="J410" s="6" t="s">
        <v>33</v>
      </c>
    </row>
    <row r="411" ht="15.75" customHeight="1">
      <c r="A411" s="9">
        <v>410.0</v>
      </c>
      <c r="B411" s="6" t="s">
        <v>43</v>
      </c>
      <c r="C411" s="11">
        <v>15350.0</v>
      </c>
      <c r="D411" s="9">
        <v>8.0</v>
      </c>
      <c r="E411" s="6" t="s">
        <v>25</v>
      </c>
      <c r="F411" s="13">
        <v>25200.0</v>
      </c>
      <c r="G411" s="13">
        <v>18750.0</v>
      </c>
      <c r="H411" s="9">
        <v>68.0</v>
      </c>
      <c r="I411" s="9">
        <v>344.0</v>
      </c>
      <c r="J411" s="6" t="s">
        <v>33</v>
      </c>
    </row>
    <row r="412" ht="15.75" customHeight="1">
      <c r="A412" s="9">
        <v>411.0</v>
      </c>
      <c r="B412" s="6" t="s">
        <v>43</v>
      </c>
      <c r="C412" s="11">
        <v>11556.0</v>
      </c>
      <c r="D412" s="9">
        <v>12.0</v>
      </c>
      <c r="E412" s="6" t="s">
        <v>25</v>
      </c>
      <c r="F412" s="13">
        <v>16200.0</v>
      </c>
      <c r="G412" s="13">
        <v>10200.0</v>
      </c>
      <c r="H412" s="9">
        <v>68.0</v>
      </c>
      <c r="I412" s="9">
        <v>180.0</v>
      </c>
      <c r="J412" s="6" t="s">
        <v>33</v>
      </c>
    </row>
    <row r="413" ht="15.75" customHeight="1">
      <c r="A413" s="9">
        <v>412.0</v>
      </c>
      <c r="B413" s="6" t="s">
        <v>43</v>
      </c>
      <c r="C413" s="11">
        <v>25735.0</v>
      </c>
      <c r="D413" s="9">
        <v>12.0</v>
      </c>
      <c r="E413" s="6" t="s">
        <v>25</v>
      </c>
      <c r="F413" s="13">
        <v>22800.0</v>
      </c>
      <c r="G413" s="13">
        <v>11250.0</v>
      </c>
      <c r="H413" s="9">
        <v>68.0</v>
      </c>
      <c r="I413" s="9">
        <v>2.0</v>
      </c>
      <c r="J413" s="6" t="s">
        <v>33</v>
      </c>
    </row>
    <row r="414" ht="15.75" customHeight="1">
      <c r="A414" s="9">
        <v>413.0</v>
      </c>
      <c r="B414" s="6" t="s">
        <v>43</v>
      </c>
      <c r="C414" s="11">
        <v>24179.0</v>
      </c>
      <c r="D414" s="9">
        <v>16.0</v>
      </c>
      <c r="E414" s="6" t="s">
        <v>26</v>
      </c>
      <c r="F414" s="13">
        <v>43500.0</v>
      </c>
      <c r="G414" s="13">
        <v>19500.0</v>
      </c>
      <c r="H414" s="9">
        <v>68.0</v>
      </c>
      <c r="I414" s="9">
        <v>11.0</v>
      </c>
      <c r="J414" s="6" t="s">
        <v>33</v>
      </c>
    </row>
    <row r="415" ht="15.75" customHeight="1">
      <c r="A415" s="9">
        <v>414.0</v>
      </c>
      <c r="B415" s="6" t="s">
        <v>20</v>
      </c>
      <c r="C415" s="11">
        <v>22289.0</v>
      </c>
      <c r="D415" s="9">
        <v>8.0</v>
      </c>
      <c r="E415" s="6" t="s">
        <v>133</v>
      </c>
      <c r="F415" s="13">
        <v>30300.0</v>
      </c>
      <c r="G415" s="13">
        <v>15750.0</v>
      </c>
      <c r="H415" s="9">
        <v>68.0</v>
      </c>
      <c r="I415" s="9">
        <v>155.0</v>
      </c>
      <c r="J415" s="6" t="s">
        <v>113</v>
      </c>
    </row>
    <row r="416" ht="15.75" customHeight="1">
      <c r="A416" s="9">
        <v>415.0</v>
      </c>
      <c r="B416" s="6" t="s">
        <v>20</v>
      </c>
      <c r="C416" s="11">
        <v>23133.0</v>
      </c>
      <c r="D416" s="9">
        <v>15.0</v>
      </c>
      <c r="E416" s="6" t="s">
        <v>25</v>
      </c>
      <c r="F416" s="13">
        <v>31950.0</v>
      </c>
      <c r="G416" s="13">
        <v>15750.0</v>
      </c>
      <c r="H416" s="9">
        <v>68.0</v>
      </c>
      <c r="I416" s="9">
        <v>70.0</v>
      </c>
      <c r="J416" s="6" t="s">
        <v>113</v>
      </c>
    </row>
    <row r="417" ht="15.75" customHeight="1">
      <c r="A417" s="9">
        <v>416.0</v>
      </c>
      <c r="B417" s="6" t="s">
        <v>20</v>
      </c>
      <c r="C417" s="11">
        <v>23758.0</v>
      </c>
      <c r="D417" s="9">
        <v>15.0</v>
      </c>
      <c r="E417" s="6" t="s">
        <v>25</v>
      </c>
      <c r="F417" s="13">
        <v>35250.0</v>
      </c>
      <c r="G417" s="13">
        <v>13500.0</v>
      </c>
      <c r="H417" s="9">
        <v>67.0</v>
      </c>
      <c r="I417" s="9">
        <v>6.0</v>
      </c>
      <c r="J417" s="6" t="s">
        <v>33</v>
      </c>
    </row>
    <row r="418" ht="15.75" customHeight="1">
      <c r="A418" s="9">
        <v>417.0</v>
      </c>
      <c r="B418" s="6" t="s">
        <v>20</v>
      </c>
      <c r="C418" s="11">
        <v>24675.0</v>
      </c>
      <c r="D418" s="9">
        <v>15.0</v>
      </c>
      <c r="E418" s="6" t="s">
        <v>25</v>
      </c>
      <c r="F418" s="13">
        <v>37800.0</v>
      </c>
      <c r="G418" s="13">
        <v>15000.0</v>
      </c>
      <c r="H418" s="9">
        <v>67.0</v>
      </c>
      <c r="I418" s="9">
        <v>36.0</v>
      </c>
      <c r="J418" s="6" t="s">
        <v>33</v>
      </c>
    </row>
    <row r="419" ht="15.75" customHeight="1">
      <c r="A419" s="9">
        <v>418.0</v>
      </c>
      <c r="B419" s="6" t="s">
        <v>20</v>
      </c>
      <c r="C419" s="11">
        <v>23898.0</v>
      </c>
      <c r="D419" s="9">
        <v>15.0</v>
      </c>
      <c r="E419" s="6" t="s">
        <v>25</v>
      </c>
      <c r="F419" s="13">
        <v>31200.0</v>
      </c>
      <c r="G419" s="13">
        <v>15750.0</v>
      </c>
      <c r="H419" s="9">
        <v>67.0</v>
      </c>
      <c r="I419" s="9">
        <v>46.0</v>
      </c>
      <c r="J419" s="6" t="s">
        <v>33</v>
      </c>
    </row>
    <row r="420" ht="15.75" customHeight="1">
      <c r="A420" s="9">
        <v>419.0</v>
      </c>
      <c r="B420" s="6" t="s">
        <v>20</v>
      </c>
      <c r="C420" s="11">
        <v>23670.0</v>
      </c>
      <c r="D420" s="9">
        <v>15.0</v>
      </c>
      <c r="E420" s="6" t="s">
        <v>25</v>
      </c>
      <c r="F420" s="13">
        <v>29400.0</v>
      </c>
      <c r="G420" s="13">
        <v>16500.0</v>
      </c>
      <c r="H420" s="9">
        <v>67.0</v>
      </c>
      <c r="I420" s="9">
        <v>68.0</v>
      </c>
      <c r="J420" s="6" t="s">
        <v>33</v>
      </c>
    </row>
    <row r="421" ht="15.75" customHeight="1">
      <c r="A421" s="9">
        <v>420.0</v>
      </c>
      <c r="B421" s="6" t="s">
        <v>20</v>
      </c>
      <c r="C421" s="11">
        <v>21017.0</v>
      </c>
      <c r="D421" s="9">
        <v>19.0</v>
      </c>
      <c r="E421" s="6" t="s">
        <v>26</v>
      </c>
      <c r="F421" s="13">
        <v>70000.0</v>
      </c>
      <c r="G421" s="13">
        <v>35040.0</v>
      </c>
      <c r="H421" s="9">
        <v>67.0</v>
      </c>
      <c r="I421" s="9">
        <v>75.0</v>
      </c>
      <c r="J421" s="6" t="s">
        <v>33</v>
      </c>
    </row>
    <row r="422" ht="15.75" customHeight="1">
      <c r="A422" s="9">
        <v>421.0</v>
      </c>
      <c r="B422" s="6" t="s">
        <v>20</v>
      </c>
      <c r="C422" s="11">
        <v>22586.0</v>
      </c>
      <c r="D422" s="9">
        <v>15.0</v>
      </c>
      <c r="E422" s="6" t="s">
        <v>25</v>
      </c>
      <c r="F422" s="13">
        <v>33900.0</v>
      </c>
      <c r="G422" s="13">
        <v>15750.0</v>
      </c>
      <c r="H422" s="9">
        <v>67.0</v>
      </c>
      <c r="I422" s="9">
        <v>96.0</v>
      </c>
      <c r="J422" s="6" t="s">
        <v>33</v>
      </c>
    </row>
    <row r="423" ht="15.75" customHeight="1">
      <c r="A423" s="9">
        <v>422.0</v>
      </c>
      <c r="B423" s="6" t="s">
        <v>20</v>
      </c>
      <c r="C423" s="11">
        <v>23212.0</v>
      </c>
      <c r="D423" s="9">
        <v>15.0</v>
      </c>
      <c r="E423" s="6" t="s">
        <v>25</v>
      </c>
      <c r="F423" s="13">
        <v>27150.0</v>
      </c>
      <c r="G423" s="13">
        <v>16500.0</v>
      </c>
      <c r="H423" s="9">
        <v>67.0</v>
      </c>
      <c r="I423" s="9">
        <v>78.0</v>
      </c>
      <c r="J423" s="6" t="s">
        <v>33</v>
      </c>
    </row>
    <row r="424" ht="15.75" customHeight="1">
      <c r="A424" s="9">
        <v>423.0</v>
      </c>
      <c r="B424" s="6" t="s">
        <v>43</v>
      </c>
      <c r="C424" s="11">
        <v>13266.0</v>
      </c>
      <c r="D424" s="9">
        <v>12.0</v>
      </c>
      <c r="E424" s="6" t="s">
        <v>25</v>
      </c>
      <c r="F424" s="13">
        <v>22200.0</v>
      </c>
      <c r="G424" s="13">
        <v>13800.0</v>
      </c>
      <c r="H424" s="9">
        <v>67.0</v>
      </c>
      <c r="I424" s="9">
        <v>196.0</v>
      </c>
      <c r="J424" s="6" t="s">
        <v>33</v>
      </c>
    </row>
    <row r="425" ht="15.75" customHeight="1">
      <c r="A425" s="9">
        <v>424.0</v>
      </c>
      <c r="B425" s="6" t="s">
        <v>43</v>
      </c>
      <c r="C425" s="11">
        <v>24294.0</v>
      </c>
      <c r="D425" s="9">
        <v>15.0</v>
      </c>
      <c r="E425" s="6" t="s">
        <v>25</v>
      </c>
      <c r="F425" s="13">
        <v>31350.0</v>
      </c>
      <c r="G425" s="13">
        <v>11100.0</v>
      </c>
      <c r="H425" s="9">
        <v>67.0</v>
      </c>
      <c r="I425" s="9">
        <v>47.0</v>
      </c>
      <c r="J425" s="6" t="s">
        <v>33</v>
      </c>
    </row>
    <row r="426" ht="15.75" customHeight="1">
      <c r="A426" s="9">
        <v>425.0</v>
      </c>
      <c r="B426" s="6" t="s">
        <v>43</v>
      </c>
      <c r="C426" s="11">
        <v>15367.0</v>
      </c>
      <c r="D426" s="9">
        <v>12.0</v>
      </c>
      <c r="E426" s="6" t="s">
        <v>25</v>
      </c>
      <c r="F426" s="13">
        <v>20850.0</v>
      </c>
      <c r="G426" s="13">
        <v>13500.0</v>
      </c>
      <c r="H426" s="9">
        <v>67.0</v>
      </c>
      <c r="I426" s="9">
        <v>181.0</v>
      </c>
      <c r="J426" s="6" t="s">
        <v>33</v>
      </c>
    </row>
    <row r="427" ht="15.75" customHeight="1">
      <c r="A427" s="9">
        <v>426.0</v>
      </c>
      <c r="B427" s="6" t="s">
        <v>20</v>
      </c>
      <c r="C427" s="11">
        <v>19294.0</v>
      </c>
      <c r="D427" s="9">
        <v>16.0</v>
      </c>
      <c r="E427" s="6" t="s">
        <v>25</v>
      </c>
      <c r="F427" s="13">
        <v>33300.0</v>
      </c>
      <c r="G427" s="13">
        <v>17490.0</v>
      </c>
      <c r="H427" s="9">
        <v>67.0</v>
      </c>
      <c r="I427" s="9">
        <v>120.0</v>
      </c>
      <c r="J427" s="6" t="s">
        <v>113</v>
      </c>
    </row>
    <row r="428" ht="15.75" customHeight="1">
      <c r="A428" s="9">
        <v>427.0</v>
      </c>
      <c r="B428" s="6" t="s">
        <v>20</v>
      </c>
      <c r="C428" s="11">
        <v>15452.0</v>
      </c>
      <c r="D428" s="9">
        <v>8.0</v>
      </c>
      <c r="E428" s="6" t="s">
        <v>25</v>
      </c>
      <c r="F428" s="13">
        <v>26250.0</v>
      </c>
      <c r="G428" s="13">
        <v>16050.0</v>
      </c>
      <c r="H428" s="9">
        <v>67.0</v>
      </c>
      <c r="I428" s="9">
        <v>97.0</v>
      </c>
      <c r="J428" s="6" t="s">
        <v>113</v>
      </c>
    </row>
    <row r="429" ht="15.75" customHeight="1">
      <c r="A429" s="9">
        <v>428.0</v>
      </c>
      <c r="B429" s="6" t="s">
        <v>20</v>
      </c>
      <c r="C429" s="11">
        <v>23435.0</v>
      </c>
      <c r="D429" s="9">
        <v>15.0</v>
      </c>
      <c r="E429" s="6" t="s">
        <v>25</v>
      </c>
      <c r="F429" s="13">
        <v>31950.0</v>
      </c>
      <c r="G429" s="13">
        <v>15750.0</v>
      </c>
      <c r="H429" s="9">
        <v>67.0</v>
      </c>
      <c r="I429" s="9">
        <v>58.0</v>
      </c>
      <c r="J429" s="6" t="s">
        <v>113</v>
      </c>
    </row>
    <row r="430" ht="15.75" customHeight="1">
      <c r="A430" s="9">
        <v>429.0</v>
      </c>
      <c r="B430" s="6" t="s">
        <v>20</v>
      </c>
      <c r="C430" s="11">
        <v>17027.0</v>
      </c>
      <c r="D430" s="9">
        <v>8.0</v>
      </c>
      <c r="E430" s="6" t="s">
        <v>133</v>
      </c>
      <c r="F430" s="13">
        <v>30000.0</v>
      </c>
      <c r="G430" s="13">
        <v>15750.0</v>
      </c>
      <c r="H430" s="9">
        <v>67.0</v>
      </c>
      <c r="I430" s="9">
        <v>305.0</v>
      </c>
      <c r="J430" s="6" t="s">
        <v>113</v>
      </c>
    </row>
    <row r="431" ht="15.75" customHeight="1">
      <c r="A431" s="9">
        <v>430.0</v>
      </c>
      <c r="B431" s="6" t="s">
        <v>20</v>
      </c>
      <c r="C431" s="11">
        <v>20574.0</v>
      </c>
      <c r="D431" s="9">
        <v>19.0</v>
      </c>
      <c r="E431" s="6" t="s">
        <v>26</v>
      </c>
      <c r="F431" s="13">
        <v>66250.0</v>
      </c>
      <c r="G431" s="13">
        <v>34980.0</v>
      </c>
      <c r="H431" s="9">
        <v>67.0</v>
      </c>
      <c r="I431" s="9">
        <v>99.0</v>
      </c>
      <c r="J431" s="6" t="s">
        <v>113</v>
      </c>
    </row>
    <row r="432" ht="15.75" customHeight="1">
      <c r="A432" s="9">
        <v>431.0</v>
      </c>
      <c r="B432" s="6" t="s">
        <v>20</v>
      </c>
      <c r="C432" s="11">
        <v>21565.0</v>
      </c>
      <c r="D432" s="9">
        <v>18.0</v>
      </c>
      <c r="E432" s="6" t="s">
        <v>26</v>
      </c>
      <c r="F432" s="13">
        <v>86250.0</v>
      </c>
      <c r="G432" s="13">
        <v>45000.0</v>
      </c>
      <c r="H432" s="9">
        <v>66.0</v>
      </c>
      <c r="I432" s="9">
        <v>50.0</v>
      </c>
      <c r="J432" s="6" t="s">
        <v>33</v>
      </c>
    </row>
    <row r="433" ht="15.75" customHeight="1">
      <c r="A433" s="9">
        <v>432.0</v>
      </c>
      <c r="B433" s="6" t="s">
        <v>20</v>
      </c>
      <c r="C433" s="11">
        <v>23448.0</v>
      </c>
      <c r="D433" s="9">
        <v>12.0</v>
      </c>
      <c r="E433" s="6" t="s">
        <v>25</v>
      </c>
      <c r="F433" s="13">
        <v>30750.0</v>
      </c>
      <c r="G433" s="13">
        <v>15000.0</v>
      </c>
      <c r="H433" s="9">
        <v>66.0</v>
      </c>
      <c r="I433" s="9">
        <v>56.0</v>
      </c>
      <c r="J433" s="6" t="s">
        <v>33</v>
      </c>
    </row>
    <row r="434" ht="15.75" customHeight="1">
      <c r="A434" s="9">
        <v>433.0</v>
      </c>
      <c r="B434" s="6" t="s">
        <v>20</v>
      </c>
      <c r="C434" s="11">
        <v>24426.0</v>
      </c>
      <c r="D434" s="9">
        <v>12.0</v>
      </c>
      <c r="E434" s="6" t="s">
        <v>25</v>
      </c>
      <c r="F434" s="13">
        <v>33540.0</v>
      </c>
      <c r="G434" s="13">
        <v>15750.0</v>
      </c>
      <c r="H434" s="9">
        <v>66.0</v>
      </c>
      <c r="I434" s="9">
        <v>47.0</v>
      </c>
      <c r="J434" s="6" t="s">
        <v>33</v>
      </c>
    </row>
    <row r="435" ht="15.75" customHeight="1">
      <c r="A435" s="9">
        <v>434.0</v>
      </c>
      <c r="B435" s="6" t="s">
        <v>20</v>
      </c>
      <c r="C435" s="23"/>
      <c r="D435" s="9">
        <v>16.0</v>
      </c>
      <c r="E435" s="6" t="s">
        <v>25</v>
      </c>
      <c r="F435" s="13">
        <v>34950.0</v>
      </c>
      <c r="G435" s="13">
        <v>20250.0</v>
      </c>
      <c r="H435" s="9">
        <v>66.0</v>
      </c>
      <c r="I435" s="9">
        <v>55.0</v>
      </c>
      <c r="J435" s="6" t="s">
        <v>33</v>
      </c>
    </row>
    <row r="436" ht="15.75" customHeight="1">
      <c r="A436" s="9">
        <v>435.0</v>
      </c>
      <c r="B436" s="6" t="s">
        <v>20</v>
      </c>
      <c r="C436" s="11">
        <v>23521.0</v>
      </c>
      <c r="D436" s="9">
        <v>15.0</v>
      </c>
      <c r="E436" s="6" t="s">
        <v>25</v>
      </c>
      <c r="F436" s="13">
        <v>40350.0</v>
      </c>
      <c r="G436" s="13">
        <v>16500.0</v>
      </c>
      <c r="H436" s="9">
        <v>66.0</v>
      </c>
      <c r="I436" s="9">
        <v>80.0</v>
      </c>
      <c r="J436" s="6" t="s">
        <v>33</v>
      </c>
    </row>
    <row r="437" ht="15.75" customHeight="1">
      <c r="A437" s="9">
        <v>436.0</v>
      </c>
      <c r="B437" s="6" t="s">
        <v>20</v>
      </c>
      <c r="C437" s="11">
        <v>23889.0</v>
      </c>
      <c r="D437" s="9">
        <v>12.0</v>
      </c>
      <c r="E437" s="6" t="s">
        <v>25</v>
      </c>
      <c r="F437" s="13">
        <v>30270.0</v>
      </c>
      <c r="G437" s="13">
        <v>15750.0</v>
      </c>
      <c r="H437" s="9">
        <v>66.0</v>
      </c>
      <c r="I437" s="9">
        <v>80.0</v>
      </c>
      <c r="J437" s="6" t="s">
        <v>33</v>
      </c>
    </row>
    <row r="438" ht="15.75" customHeight="1">
      <c r="A438" s="9">
        <v>437.0</v>
      </c>
      <c r="B438" s="6" t="s">
        <v>20</v>
      </c>
      <c r="C438" s="11">
        <v>12301.0</v>
      </c>
      <c r="D438" s="9">
        <v>8.0</v>
      </c>
      <c r="E438" s="6" t="s">
        <v>25</v>
      </c>
      <c r="F438" s="13">
        <v>26250.0</v>
      </c>
      <c r="G438" s="13">
        <v>16050.0</v>
      </c>
      <c r="H438" s="9">
        <v>66.0</v>
      </c>
      <c r="I438" s="9">
        <v>264.0</v>
      </c>
      <c r="J438" s="6" t="s">
        <v>33</v>
      </c>
    </row>
    <row r="439" ht="15.75" customHeight="1">
      <c r="A439" s="9">
        <v>438.0</v>
      </c>
      <c r="B439" s="6" t="s">
        <v>20</v>
      </c>
      <c r="C439" s="11">
        <v>23661.0</v>
      </c>
      <c r="D439" s="9">
        <v>15.0</v>
      </c>
      <c r="E439" s="6" t="s">
        <v>25</v>
      </c>
      <c r="F439" s="13">
        <v>32400.0</v>
      </c>
      <c r="G439" s="13">
        <v>15000.0</v>
      </c>
      <c r="H439" s="9">
        <v>66.0</v>
      </c>
      <c r="I439" s="9">
        <v>64.0</v>
      </c>
      <c r="J439" s="6" t="s">
        <v>33</v>
      </c>
    </row>
    <row r="440" ht="15.75" customHeight="1">
      <c r="A440" s="9">
        <v>439.0</v>
      </c>
      <c r="B440" s="6" t="s">
        <v>43</v>
      </c>
      <c r="C440" s="11">
        <v>25744.0</v>
      </c>
      <c r="D440" s="9">
        <v>12.0</v>
      </c>
      <c r="E440" s="6" t="s">
        <v>25</v>
      </c>
      <c r="F440" s="13">
        <v>20400.0</v>
      </c>
      <c r="G440" s="13">
        <v>11250.0</v>
      </c>
      <c r="H440" s="9">
        <v>66.0</v>
      </c>
      <c r="I440" s="9"/>
      <c r="J440" s="6" t="s">
        <v>33</v>
      </c>
    </row>
    <row r="441" ht="15.75" customHeight="1">
      <c r="A441" s="9">
        <v>440.0</v>
      </c>
      <c r="B441" s="6" t="s">
        <v>43</v>
      </c>
      <c r="C441" s="11">
        <v>17481.0</v>
      </c>
      <c r="D441" s="9">
        <v>8.0</v>
      </c>
      <c r="E441" s="6" t="s">
        <v>25</v>
      </c>
      <c r="F441" s="13">
        <v>24150.0</v>
      </c>
      <c r="G441" s="13">
        <v>12750.0</v>
      </c>
      <c r="H441" s="9">
        <v>66.0</v>
      </c>
      <c r="I441" s="9">
        <v>96.0</v>
      </c>
      <c r="J441" s="6" t="s">
        <v>33</v>
      </c>
    </row>
    <row r="442" ht="15.75" customHeight="1">
      <c r="A442" s="9">
        <v>441.0</v>
      </c>
      <c r="B442" s="6" t="s">
        <v>43</v>
      </c>
      <c r="C442" s="11">
        <v>18112.0</v>
      </c>
      <c r="D442" s="9">
        <v>15.0</v>
      </c>
      <c r="E442" s="6" t="s">
        <v>25</v>
      </c>
      <c r="F442" s="13">
        <v>23850.0</v>
      </c>
      <c r="G442" s="13">
        <v>13500.0</v>
      </c>
      <c r="H442" s="9">
        <v>66.0</v>
      </c>
      <c r="I442" s="9">
        <v>122.0</v>
      </c>
      <c r="J442" s="6" t="s">
        <v>33</v>
      </c>
    </row>
    <row r="443" ht="15.75" customHeight="1">
      <c r="A443" s="9">
        <v>442.0</v>
      </c>
      <c r="B443" s="6" t="s">
        <v>43</v>
      </c>
      <c r="C443" s="11">
        <v>25099.0</v>
      </c>
      <c r="D443" s="9">
        <v>12.0</v>
      </c>
      <c r="E443" s="6" t="s">
        <v>25</v>
      </c>
      <c r="F443" s="13">
        <v>29700.0</v>
      </c>
      <c r="G443" s="13">
        <v>13500.0</v>
      </c>
      <c r="H443" s="9">
        <v>66.0</v>
      </c>
      <c r="I443" s="9">
        <v>26.0</v>
      </c>
      <c r="J443" s="6" t="s">
        <v>33</v>
      </c>
    </row>
    <row r="444" ht="15.75" customHeight="1">
      <c r="A444" s="9">
        <v>443.0</v>
      </c>
      <c r="B444" s="6" t="s">
        <v>43</v>
      </c>
      <c r="C444" s="11">
        <v>10634.0</v>
      </c>
      <c r="D444" s="9">
        <v>8.0</v>
      </c>
      <c r="E444" s="6" t="s">
        <v>25</v>
      </c>
      <c r="F444" s="13">
        <v>21600.0</v>
      </c>
      <c r="G444" s="13">
        <v>13500.0</v>
      </c>
      <c r="H444" s="9">
        <v>66.0</v>
      </c>
      <c r="I444" s="9">
        <v>228.0</v>
      </c>
      <c r="J444" s="6" t="s">
        <v>33</v>
      </c>
    </row>
    <row r="445" ht="15.75" customHeight="1">
      <c r="A445" s="9">
        <v>444.0</v>
      </c>
      <c r="B445" s="6" t="s">
        <v>43</v>
      </c>
      <c r="C445" s="11">
        <v>22540.0</v>
      </c>
      <c r="D445" s="9">
        <v>12.0</v>
      </c>
      <c r="E445" s="6" t="s">
        <v>25</v>
      </c>
      <c r="F445" s="13">
        <v>24450.0</v>
      </c>
      <c r="G445" s="13">
        <v>15750.0</v>
      </c>
      <c r="H445" s="9">
        <v>66.0</v>
      </c>
      <c r="I445" s="9">
        <v>87.0</v>
      </c>
      <c r="J445" s="6" t="s">
        <v>33</v>
      </c>
    </row>
    <row r="446" ht="15.75" customHeight="1">
      <c r="A446" s="9">
        <v>445.0</v>
      </c>
      <c r="B446" s="6" t="s">
        <v>20</v>
      </c>
      <c r="C446" s="11">
        <v>23227.0</v>
      </c>
      <c r="D446" s="9">
        <v>15.0</v>
      </c>
      <c r="E446" s="6" t="s">
        <v>25</v>
      </c>
      <c r="F446" s="13">
        <v>28050.0</v>
      </c>
      <c r="G446" s="13">
        <v>16500.0</v>
      </c>
      <c r="H446" s="9">
        <v>66.0</v>
      </c>
      <c r="I446" s="9">
        <v>84.0</v>
      </c>
      <c r="J446" s="6" t="s">
        <v>113</v>
      </c>
    </row>
    <row r="447" ht="15.75" customHeight="1">
      <c r="A447" s="9">
        <v>446.0</v>
      </c>
      <c r="B447" s="6" t="s">
        <v>20</v>
      </c>
      <c r="C447" s="11">
        <v>21400.0</v>
      </c>
      <c r="D447" s="9">
        <v>16.0</v>
      </c>
      <c r="E447" s="6" t="s">
        <v>26</v>
      </c>
      <c r="F447" s="13">
        <v>100000.0</v>
      </c>
      <c r="G447" s="13">
        <v>44100.0</v>
      </c>
      <c r="H447" s="9">
        <v>66.0</v>
      </c>
      <c r="I447" s="9">
        <v>128.0</v>
      </c>
      <c r="J447" s="6" t="s">
        <v>113</v>
      </c>
    </row>
    <row r="448" ht="15.75" customHeight="1">
      <c r="A448" s="9">
        <v>447.0</v>
      </c>
      <c r="B448" s="6" t="s">
        <v>20</v>
      </c>
      <c r="C448" s="11">
        <v>22464.0</v>
      </c>
      <c r="D448" s="9">
        <v>15.0</v>
      </c>
      <c r="E448" s="6" t="s">
        <v>25</v>
      </c>
      <c r="F448" s="13">
        <v>49000.0</v>
      </c>
      <c r="G448" s="13">
        <v>20550.0</v>
      </c>
      <c r="H448" s="9">
        <v>66.0</v>
      </c>
      <c r="I448" s="9">
        <v>86.0</v>
      </c>
      <c r="J448" s="6" t="s">
        <v>113</v>
      </c>
    </row>
    <row r="449" ht="15.75" customHeight="1">
      <c r="A449" s="9">
        <v>448.0</v>
      </c>
      <c r="B449" s="6" t="s">
        <v>43</v>
      </c>
      <c r="C449" s="11">
        <v>12210.0</v>
      </c>
      <c r="D449" s="9">
        <v>12.0</v>
      </c>
      <c r="E449" s="6" t="s">
        <v>25</v>
      </c>
      <c r="F449" s="13">
        <v>16350.0</v>
      </c>
      <c r="G449" s="13">
        <v>10200.0</v>
      </c>
      <c r="H449" s="9">
        <v>66.0</v>
      </c>
      <c r="I449" s="9">
        <v>163.0</v>
      </c>
      <c r="J449" s="6" t="s">
        <v>113</v>
      </c>
    </row>
    <row r="450" ht="15.75" customHeight="1">
      <c r="A450" s="9">
        <v>449.0</v>
      </c>
      <c r="B450" s="6" t="s">
        <v>20</v>
      </c>
      <c r="C450" s="11">
        <v>24109.0</v>
      </c>
      <c r="D450" s="9">
        <v>16.0</v>
      </c>
      <c r="E450" s="6" t="s">
        <v>26</v>
      </c>
      <c r="F450" s="13">
        <v>70000.0</v>
      </c>
      <c r="G450" s="13">
        <v>21750.0</v>
      </c>
      <c r="H450" s="9">
        <v>65.0</v>
      </c>
      <c r="I450" s="9">
        <v>19.0</v>
      </c>
      <c r="J450" s="6" t="s">
        <v>33</v>
      </c>
    </row>
    <row r="451" ht="15.75" customHeight="1">
      <c r="A451" s="9">
        <v>450.0</v>
      </c>
      <c r="B451" s="6" t="s">
        <v>20</v>
      </c>
      <c r="C451" s="11">
        <v>19926.0</v>
      </c>
      <c r="D451" s="9">
        <v>19.0</v>
      </c>
      <c r="E451" s="6" t="s">
        <v>26</v>
      </c>
      <c r="F451" s="13">
        <v>55000.0</v>
      </c>
      <c r="G451" s="13">
        <v>34980.0</v>
      </c>
      <c r="H451" s="9">
        <v>65.0</v>
      </c>
      <c r="I451" s="9">
        <v>129.0</v>
      </c>
      <c r="J451" s="6" t="s">
        <v>33</v>
      </c>
    </row>
    <row r="452" ht="15.75" customHeight="1">
      <c r="A452" s="9">
        <v>451.0</v>
      </c>
      <c r="B452" s="6" t="s">
        <v>20</v>
      </c>
      <c r="C452" s="11">
        <v>25403.0</v>
      </c>
      <c r="D452" s="9">
        <v>15.0</v>
      </c>
      <c r="E452" s="6" t="s">
        <v>25</v>
      </c>
      <c r="F452" s="13">
        <v>28500.0</v>
      </c>
      <c r="G452" s="13">
        <v>14250.0</v>
      </c>
      <c r="H452" s="9">
        <v>65.0</v>
      </c>
      <c r="I452" s="9">
        <v>20.0</v>
      </c>
      <c r="J452" s="6" t="s">
        <v>33</v>
      </c>
    </row>
    <row r="453" ht="15.75" customHeight="1">
      <c r="A453" s="9">
        <v>452.0</v>
      </c>
      <c r="B453" s="6" t="s">
        <v>20</v>
      </c>
      <c r="C453" s="11">
        <v>19584.0</v>
      </c>
      <c r="D453" s="9">
        <v>12.0</v>
      </c>
      <c r="E453" s="6" t="s">
        <v>25</v>
      </c>
      <c r="F453" s="13">
        <v>28800.0</v>
      </c>
      <c r="G453" s="13">
        <v>18000.0</v>
      </c>
      <c r="H453" s="9">
        <v>65.0</v>
      </c>
      <c r="I453" s="9">
        <v>210.0</v>
      </c>
      <c r="J453" s="6" t="s">
        <v>33</v>
      </c>
    </row>
    <row r="454" ht="15.75" customHeight="1">
      <c r="A454" s="9">
        <v>453.0</v>
      </c>
      <c r="B454" s="6" t="s">
        <v>20</v>
      </c>
      <c r="C454" s="11">
        <v>11177.0</v>
      </c>
      <c r="D454" s="9">
        <v>15.0</v>
      </c>
      <c r="E454" s="6" t="s">
        <v>25</v>
      </c>
      <c r="F454" s="13">
        <v>24450.0</v>
      </c>
      <c r="G454" s="13">
        <v>15750.0</v>
      </c>
      <c r="H454" s="9">
        <v>65.0</v>
      </c>
      <c r="I454" s="9">
        <v>338.0</v>
      </c>
      <c r="J454" s="6" t="s">
        <v>33</v>
      </c>
    </row>
    <row r="455" ht="15.75" customHeight="1">
      <c r="A455" s="9">
        <v>454.0</v>
      </c>
      <c r="B455" s="6" t="s">
        <v>20</v>
      </c>
      <c r="C455" s="11">
        <v>23951.0</v>
      </c>
      <c r="D455" s="9">
        <v>19.0</v>
      </c>
      <c r="E455" s="6" t="s">
        <v>26</v>
      </c>
      <c r="F455" s="13">
        <v>90625.0</v>
      </c>
      <c r="G455" s="13">
        <v>31250.0</v>
      </c>
      <c r="H455" s="9">
        <v>65.0</v>
      </c>
      <c r="I455" s="9">
        <v>18.0</v>
      </c>
      <c r="J455" s="6" t="s">
        <v>33</v>
      </c>
    </row>
    <row r="456" ht="15.75" customHeight="1">
      <c r="A456" s="9">
        <v>455.0</v>
      </c>
      <c r="B456" s="6" t="s">
        <v>20</v>
      </c>
      <c r="C456" s="11">
        <v>23393.0</v>
      </c>
      <c r="D456" s="9">
        <v>16.0</v>
      </c>
      <c r="E456" s="6" t="s">
        <v>26</v>
      </c>
      <c r="F456" s="13">
        <v>43650.0</v>
      </c>
      <c r="G456" s="13">
        <v>19500.0</v>
      </c>
      <c r="H456" s="9">
        <v>65.0</v>
      </c>
      <c r="I456" s="9">
        <v>19.0</v>
      </c>
      <c r="J456" s="6" t="s">
        <v>33</v>
      </c>
    </row>
    <row r="457" ht="15.75" customHeight="1">
      <c r="A457" s="9">
        <v>456.0</v>
      </c>
      <c r="B457" s="6" t="s">
        <v>20</v>
      </c>
      <c r="C457" s="11">
        <v>21840.0</v>
      </c>
      <c r="D457" s="9">
        <v>19.0</v>
      </c>
      <c r="E457" s="6" t="s">
        <v>26</v>
      </c>
      <c r="F457" s="13">
        <v>75000.0</v>
      </c>
      <c r="G457" s="13">
        <v>42510.0</v>
      </c>
      <c r="H457" s="9">
        <v>65.0</v>
      </c>
      <c r="I457" s="9">
        <v>54.0</v>
      </c>
      <c r="J457" s="6" t="s">
        <v>33</v>
      </c>
    </row>
    <row r="458" ht="15.75" customHeight="1">
      <c r="A458" s="9">
        <v>457.0</v>
      </c>
      <c r="B458" s="6" t="s">
        <v>20</v>
      </c>
      <c r="C458" s="11">
        <v>24985.0</v>
      </c>
      <c r="D458" s="9">
        <v>15.0</v>
      </c>
      <c r="E458" s="6" t="s">
        <v>25</v>
      </c>
      <c r="F458" s="13">
        <v>31650.0</v>
      </c>
      <c r="G458" s="13">
        <v>14250.0</v>
      </c>
      <c r="H458" s="9">
        <v>65.0</v>
      </c>
      <c r="I458" s="9">
        <v>10.0</v>
      </c>
      <c r="J458" s="6" t="s">
        <v>33</v>
      </c>
    </row>
    <row r="459" ht="15.75" customHeight="1">
      <c r="A459" s="9">
        <v>458.0</v>
      </c>
      <c r="B459" s="6" t="s">
        <v>20</v>
      </c>
      <c r="C459" s="11">
        <v>23929.0</v>
      </c>
      <c r="D459" s="9">
        <v>19.0</v>
      </c>
      <c r="E459" s="6" t="s">
        <v>26</v>
      </c>
      <c r="F459" s="13">
        <v>61875.0</v>
      </c>
      <c r="G459" s="13">
        <v>28740.0</v>
      </c>
      <c r="H459" s="9">
        <v>65.0</v>
      </c>
      <c r="I459" s="9">
        <v>26.0</v>
      </c>
      <c r="J459" s="6" t="s">
        <v>33</v>
      </c>
    </row>
    <row r="460" ht="15.75" customHeight="1">
      <c r="A460" s="9">
        <v>459.0</v>
      </c>
      <c r="B460" s="6" t="s">
        <v>43</v>
      </c>
      <c r="C460" s="11">
        <v>25974.0</v>
      </c>
      <c r="D460" s="9">
        <v>12.0</v>
      </c>
      <c r="E460" s="6" t="s">
        <v>25</v>
      </c>
      <c r="F460" s="13">
        <v>21750.0</v>
      </c>
      <c r="G460" s="13">
        <v>11250.0</v>
      </c>
      <c r="H460" s="9">
        <v>65.0</v>
      </c>
      <c r="I460" s="9"/>
      <c r="J460" s="6" t="s">
        <v>33</v>
      </c>
    </row>
    <row r="461" ht="15.75" customHeight="1">
      <c r="A461" s="9">
        <v>460.0</v>
      </c>
      <c r="B461" s="6" t="s">
        <v>43</v>
      </c>
      <c r="C461" s="11">
        <v>25427.0</v>
      </c>
      <c r="D461" s="9">
        <v>12.0</v>
      </c>
      <c r="E461" s="6" t="s">
        <v>25</v>
      </c>
      <c r="F461" s="13">
        <v>22500.0</v>
      </c>
      <c r="G461" s="13">
        <v>12750.0</v>
      </c>
      <c r="H461" s="9">
        <v>65.0</v>
      </c>
      <c r="I461" s="9">
        <v>24.0</v>
      </c>
      <c r="J461" s="6" t="s">
        <v>33</v>
      </c>
    </row>
    <row r="462" ht="15.75" customHeight="1">
      <c r="A462" s="9">
        <v>461.0</v>
      </c>
      <c r="B462" s="6" t="s">
        <v>43</v>
      </c>
      <c r="C462" s="11">
        <v>16018.0</v>
      </c>
      <c r="D462" s="9">
        <v>8.0</v>
      </c>
      <c r="E462" s="6" t="s">
        <v>25</v>
      </c>
      <c r="F462" s="13">
        <v>21600.0</v>
      </c>
      <c r="G462" s="13">
        <v>13500.0</v>
      </c>
      <c r="H462" s="9">
        <v>65.0</v>
      </c>
      <c r="I462" s="9">
        <v>173.0</v>
      </c>
      <c r="J462" s="6" t="s">
        <v>33</v>
      </c>
    </row>
    <row r="463" ht="15.75" customHeight="1">
      <c r="A463" s="9">
        <v>462.0</v>
      </c>
      <c r="B463" s="6" t="s">
        <v>43</v>
      </c>
      <c r="C463" s="11">
        <v>23302.0</v>
      </c>
      <c r="D463" s="9">
        <v>16.0</v>
      </c>
      <c r="E463" s="6" t="s">
        <v>26</v>
      </c>
      <c r="F463" s="13">
        <v>34410.0</v>
      </c>
      <c r="G463" s="13">
        <v>19500.0</v>
      </c>
      <c r="H463" s="9">
        <v>65.0</v>
      </c>
      <c r="I463" s="9">
        <v>79.0</v>
      </c>
      <c r="J463" s="6" t="s">
        <v>33</v>
      </c>
    </row>
    <row r="464" ht="15.75" customHeight="1">
      <c r="A464" s="9">
        <v>463.0</v>
      </c>
      <c r="B464" s="6" t="s">
        <v>43</v>
      </c>
      <c r="C464" s="11">
        <v>12707.0</v>
      </c>
      <c r="D464" s="9">
        <v>15.0</v>
      </c>
      <c r="E464" s="6" t="s">
        <v>25</v>
      </c>
      <c r="F464" s="13">
        <v>20700.0</v>
      </c>
      <c r="G464" s="13">
        <v>14250.0</v>
      </c>
      <c r="H464" s="9">
        <v>65.0</v>
      </c>
      <c r="I464" s="9">
        <v>241.0</v>
      </c>
      <c r="J464" s="6" t="s">
        <v>33</v>
      </c>
    </row>
    <row r="465" ht="15.75" customHeight="1">
      <c r="A465" s="9">
        <v>464.0</v>
      </c>
      <c r="B465" s="6" t="s">
        <v>20</v>
      </c>
      <c r="C465" s="11">
        <v>22725.0</v>
      </c>
      <c r="D465" s="9">
        <v>19.0</v>
      </c>
      <c r="E465" s="6" t="s">
        <v>26</v>
      </c>
      <c r="F465" s="13">
        <v>47550.0</v>
      </c>
      <c r="G465" s="13">
        <v>33000.0</v>
      </c>
      <c r="H465" s="9">
        <v>64.0</v>
      </c>
      <c r="I465" s="9">
        <v>27.0</v>
      </c>
      <c r="J465" s="6" t="s">
        <v>33</v>
      </c>
    </row>
    <row r="466" ht="15.75" customHeight="1">
      <c r="A466" s="9">
        <v>465.0</v>
      </c>
      <c r="B466" s="6" t="s">
        <v>20</v>
      </c>
      <c r="C466" s="11">
        <v>22847.0</v>
      </c>
      <c r="D466" s="9">
        <v>12.0</v>
      </c>
      <c r="E466" s="6" t="s">
        <v>25</v>
      </c>
      <c r="F466" s="13">
        <v>33900.0</v>
      </c>
      <c r="G466" s="13">
        <v>16500.0</v>
      </c>
      <c r="H466" s="9">
        <v>64.0</v>
      </c>
      <c r="I466" s="9">
        <v>106.0</v>
      </c>
      <c r="J466" s="6" t="s">
        <v>33</v>
      </c>
    </row>
    <row r="467" ht="15.75" customHeight="1">
      <c r="A467" s="9">
        <v>466.0</v>
      </c>
      <c r="B467" s="6" t="s">
        <v>43</v>
      </c>
      <c r="C467" s="11">
        <v>17699.0</v>
      </c>
      <c r="D467" s="9">
        <v>12.0</v>
      </c>
      <c r="E467" s="6" t="s">
        <v>25</v>
      </c>
      <c r="F467" s="13">
        <v>23400.0</v>
      </c>
      <c r="G467" s="13">
        <v>13500.0</v>
      </c>
      <c r="H467" s="9">
        <v>64.0</v>
      </c>
      <c r="I467" s="9">
        <v>198.0</v>
      </c>
      <c r="J467" s="6" t="s">
        <v>33</v>
      </c>
    </row>
    <row r="468" ht="15.75" customHeight="1">
      <c r="A468" s="9">
        <v>467.0</v>
      </c>
      <c r="B468" s="6" t="s">
        <v>43</v>
      </c>
      <c r="C468" s="11">
        <v>24702.0</v>
      </c>
      <c r="D468" s="9">
        <v>16.0</v>
      </c>
      <c r="E468" s="6" t="s">
        <v>25</v>
      </c>
      <c r="F468" s="13">
        <v>32850.0</v>
      </c>
      <c r="G468" s="13">
        <v>19500.0</v>
      </c>
      <c r="H468" s="9">
        <v>64.0</v>
      </c>
      <c r="I468" s="9">
        <v>20.0</v>
      </c>
      <c r="J468" s="6" t="s">
        <v>33</v>
      </c>
    </row>
    <row r="469" ht="15.75" customHeight="1">
      <c r="A469" s="9">
        <v>468.0</v>
      </c>
      <c r="B469" s="6" t="s">
        <v>43</v>
      </c>
      <c r="C469" s="11">
        <v>24074.0</v>
      </c>
      <c r="D469" s="9">
        <v>16.0</v>
      </c>
      <c r="E469" s="6" t="s">
        <v>26</v>
      </c>
      <c r="F469" s="13">
        <v>55750.0</v>
      </c>
      <c r="G469" s="13">
        <v>19980.0</v>
      </c>
      <c r="H469" s="9">
        <v>64.0</v>
      </c>
      <c r="I469" s="9">
        <v>36.0</v>
      </c>
      <c r="J469" s="6" t="s">
        <v>33</v>
      </c>
    </row>
    <row r="470" ht="15.75" customHeight="1">
      <c r="A470" s="9">
        <v>469.0</v>
      </c>
      <c r="B470" s="6" t="s">
        <v>43</v>
      </c>
      <c r="C470" s="11">
        <v>23529.0</v>
      </c>
      <c r="D470" s="9">
        <v>15.0</v>
      </c>
      <c r="E470" s="6" t="s">
        <v>25</v>
      </c>
      <c r="F470" s="13">
        <v>25200.0</v>
      </c>
      <c r="G470" s="13">
        <v>13950.0</v>
      </c>
      <c r="H470" s="9">
        <v>64.0</v>
      </c>
      <c r="I470" s="9">
        <v>57.0</v>
      </c>
      <c r="J470" s="6" t="s">
        <v>33</v>
      </c>
    </row>
    <row r="471" ht="15.75" customHeight="1">
      <c r="A471" s="9">
        <v>470.0</v>
      </c>
      <c r="B471" s="6" t="s">
        <v>20</v>
      </c>
      <c r="C471" s="11">
        <v>23398.0</v>
      </c>
      <c r="D471" s="9">
        <v>12.0</v>
      </c>
      <c r="E471" s="6" t="s">
        <v>25</v>
      </c>
      <c r="F471" s="13">
        <v>26250.0</v>
      </c>
      <c r="G471" s="13">
        <v>15750.0</v>
      </c>
      <c r="H471" s="9">
        <v>64.0</v>
      </c>
      <c r="I471" s="9">
        <v>69.0</v>
      </c>
      <c r="J471" s="6" t="s">
        <v>113</v>
      </c>
    </row>
    <row r="472" ht="15.75" customHeight="1">
      <c r="A472" s="9">
        <v>471.0</v>
      </c>
      <c r="B472" s="6" t="s">
        <v>20</v>
      </c>
      <c r="C472" s="11">
        <v>24322.0</v>
      </c>
      <c r="D472" s="9">
        <v>15.0</v>
      </c>
      <c r="E472" s="6" t="s">
        <v>25</v>
      </c>
      <c r="F472" s="13">
        <v>26400.0</v>
      </c>
      <c r="G472" s="13">
        <v>15750.0</v>
      </c>
      <c r="H472" s="9">
        <v>64.0</v>
      </c>
      <c r="I472" s="9">
        <v>32.0</v>
      </c>
      <c r="J472" s="6" t="s">
        <v>113</v>
      </c>
    </row>
    <row r="473" ht="15.75" customHeight="1">
      <c r="A473" s="9">
        <v>472.0</v>
      </c>
      <c r="B473" s="6" t="s">
        <v>20</v>
      </c>
      <c r="C473" s="11">
        <v>24159.0</v>
      </c>
      <c r="D473" s="9">
        <v>15.0</v>
      </c>
      <c r="E473" s="6" t="s">
        <v>25</v>
      </c>
      <c r="F473" s="13">
        <v>39150.0</v>
      </c>
      <c r="G473" s="13">
        <v>15750.0</v>
      </c>
      <c r="H473" s="9">
        <v>63.0</v>
      </c>
      <c r="I473" s="9">
        <v>46.0</v>
      </c>
      <c r="J473" s="6" t="s">
        <v>33</v>
      </c>
    </row>
    <row r="474" ht="15.75" customHeight="1">
      <c r="A474" s="9">
        <v>473.0</v>
      </c>
      <c r="B474" s="6" t="s">
        <v>43</v>
      </c>
      <c r="C474" s="11">
        <v>13844.0</v>
      </c>
      <c r="D474" s="9">
        <v>12.0</v>
      </c>
      <c r="E474" s="6" t="s">
        <v>25</v>
      </c>
      <c r="F474" s="13">
        <v>21450.0</v>
      </c>
      <c r="G474" s="13">
        <v>12750.0</v>
      </c>
      <c r="H474" s="9">
        <v>63.0</v>
      </c>
      <c r="I474" s="9">
        <v>139.0</v>
      </c>
      <c r="J474" s="6" t="s">
        <v>33</v>
      </c>
    </row>
    <row r="475" ht="15.75" customHeight="1">
      <c r="A475" s="9">
        <v>474.0</v>
      </c>
      <c r="B475" s="6" t="s">
        <v>43</v>
      </c>
      <c r="C475" s="11">
        <v>25147.0</v>
      </c>
      <c r="D475" s="9">
        <v>12.0</v>
      </c>
      <c r="E475" s="6" t="s">
        <v>25</v>
      </c>
      <c r="F475" s="13">
        <v>29400.0</v>
      </c>
      <c r="G475" s="13">
        <v>14250.0</v>
      </c>
      <c r="H475" s="9">
        <v>63.0</v>
      </c>
      <c r="I475" s="9">
        <v>9.0</v>
      </c>
      <c r="J475" s="6" t="s">
        <v>33</v>
      </c>
    </row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475"/>
  <printOptions/>
  <pageMargins bottom="1.0" footer="0.0" header="0.0" left="0.75" right="0.75" top="1.0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5" width="20.0"/>
    <col customWidth="1" min="6" max="26" width="8.71"/>
  </cols>
  <sheetData>
    <row r="1">
      <c r="A1" s="1" t="s">
        <v>0</v>
      </c>
    </row>
    <row r="2">
      <c r="A2" s="3" t="s">
        <v>1</v>
      </c>
    </row>
    <row r="4">
      <c r="A4" s="4" t="s">
        <v>2</v>
      </c>
    </row>
    <row r="5">
      <c r="A5" s="5" t="s">
        <v>4</v>
      </c>
      <c r="B5" s="5" t="s">
        <v>7</v>
      </c>
      <c r="C5" s="5" t="s">
        <v>12</v>
      </c>
      <c r="D5" s="5" t="s">
        <v>16</v>
      </c>
      <c r="E5" s="5" t="s">
        <v>19</v>
      </c>
    </row>
    <row r="6">
      <c r="A6" s="7" t="s">
        <v>25</v>
      </c>
      <c r="B6" s="12">
        <f>COUNTIF(Clean_Data!$E$2:$E$475,A6)</f>
        <v>363</v>
      </c>
      <c r="C6" s="14">
        <f>AVERAGEIF(Clean_Data!$E$2:$E$475,A6,Clean_Data!$F$2:$F$475)</f>
        <v>27838.53994</v>
      </c>
      <c r="D6" s="14">
        <f>AVERAGEIF(Clean_Data!$E$2:$E$475,A6,Clean_Data!$G$2:$G$475)</f>
        <v>14096.04683</v>
      </c>
      <c r="E6" s="15">
        <f t="shared" ref="E6:E8" si="1">B6/B$9</f>
        <v>0.7658227848</v>
      </c>
    </row>
    <row r="7">
      <c r="A7" s="7" t="s">
        <v>133</v>
      </c>
      <c r="B7" s="12">
        <f>COUNTIF(Clean_Data!$E$2:$E$475,A7)</f>
        <v>27</v>
      </c>
      <c r="C7" s="14">
        <f>AVERAGEIF(Clean_Data!$E$2:$E$475,A7,Clean_Data!$F$2:$F$475)</f>
        <v>30938.88889</v>
      </c>
      <c r="D7" s="14">
        <f>AVERAGEIF(Clean_Data!$E$2:$E$475,A7,Clean_Data!$G$2:$G$475)</f>
        <v>15077.77778</v>
      </c>
      <c r="E7" s="15">
        <f t="shared" si="1"/>
        <v>0.05696202532</v>
      </c>
    </row>
    <row r="8">
      <c r="A8" s="7" t="s">
        <v>26</v>
      </c>
      <c r="B8" s="12">
        <f>COUNTIF(Clean_Data!$E$2:$E$475,A8)</f>
        <v>84</v>
      </c>
      <c r="C8" s="14">
        <f>AVERAGEIF(Clean_Data!$E$2:$E$475,A8,Clean_Data!$F$2:$F$475)</f>
        <v>63977.79762</v>
      </c>
      <c r="D8" s="14">
        <f>AVERAGEIF(Clean_Data!$E$2:$E$475,A8,Clean_Data!$G$2:$G$475)</f>
        <v>30257.85714</v>
      </c>
      <c r="E8" s="15">
        <f t="shared" si="1"/>
        <v>0.1772151899</v>
      </c>
    </row>
    <row r="9">
      <c r="A9" s="16" t="s">
        <v>175</v>
      </c>
      <c r="B9" s="17">
        <f>SUM(B6:B8)</f>
        <v>474</v>
      </c>
      <c r="C9" s="18">
        <f>AVERAGE(Clean_Data!$F$2:$F$475)</f>
        <v>34419.56751</v>
      </c>
      <c r="D9" s="18">
        <f>AVERAGE(Clean_Data!$G$2:$G$475)</f>
        <v>17016.0865</v>
      </c>
      <c r="E9" s="19">
        <f>SUM(E6:E8)</f>
        <v>1</v>
      </c>
    </row>
    <row r="12">
      <c r="A12" s="4" t="s">
        <v>202</v>
      </c>
    </row>
    <row r="13">
      <c r="A13" s="5" t="s">
        <v>28</v>
      </c>
      <c r="B13" s="5" t="s">
        <v>7</v>
      </c>
      <c r="C13" s="5" t="s">
        <v>12</v>
      </c>
      <c r="D13" s="5" t="s">
        <v>16</v>
      </c>
      <c r="E13" s="5" t="s">
        <v>19</v>
      </c>
    </row>
    <row r="14">
      <c r="A14" s="7" t="s">
        <v>43</v>
      </c>
      <c r="B14" s="12">
        <f>COUNTIF(Clean_Data!$B$2:$B$475,A14)</f>
        <v>216</v>
      </c>
      <c r="C14" s="14">
        <f>AVERAGEIF(Clean_Data!$B$2:$B$475,A14,Clean_Data!$F$2:$F$475)</f>
        <v>26031.9213</v>
      </c>
      <c r="D14" s="14">
        <f>AVERAGEIF(Clean_Data!$B$2:$B$475,A14,Clean_Data!$G$2:$G$475)</f>
        <v>13091.96759</v>
      </c>
      <c r="E14" s="15">
        <f t="shared" ref="E14:E15" si="2">B14/B$16</f>
        <v>0.4556962025</v>
      </c>
    </row>
    <row r="15">
      <c r="A15" s="7" t="s">
        <v>20</v>
      </c>
      <c r="B15" s="12">
        <f>COUNTIF(Clean_Data!$B$2:$B$475,A15)</f>
        <v>258</v>
      </c>
      <c r="C15" s="14">
        <f>AVERAGEIF(Clean_Data!$B$2:$B$475,A15,Clean_Data!$F$2:$F$475)</f>
        <v>41441.78295</v>
      </c>
      <c r="D15" s="14">
        <f>AVERAGEIF(Clean_Data!$B$2:$B$475,A15,Clean_Data!$G$2:$G$475)</f>
        <v>20301.39535</v>
      </c>
      <c r="E15" s="15">
        <f t="shared" si="2"/>
        <v>0.5443037975</v>
      </c>
    </row>
    <row r="16">
      <c r="A16" s="16" t="s">
        <v>175</v>
      </c>
      <c r="B16" s="17">
        <f>SUM(B14:B15)</f>
        <v>474</v>
      </c>
      <c r="C16" s="18">
        <f>AVERAGE(Clean_Data!$F$2:$F$475)</f>
        <v>34419.56751</v>
      </c>
      <c r="D16" s="18">
        <f>AVERAGE(Clean_Data!$G$2:$G$475)</f>
        <v>17016.0865</v>
      </c>
      <c r="E16" s="19">
        <f>SUM(E14:E15)</f>
        <v>1</v>
      </c>
    </row>
    <row r="19">
      <c r="A19" s="4" t="s">
        <v>284</v>
      </c>
    </row>
    <row r="20">
      <c r="A20" s="5" t="s">
        <v>68</v>
      </c>
      <c r="B20" s="5" t="s">
        <v>7</v>
      </c>
      <c r="C20" s="5" t="s">
        <v>12</v>
      </c>
      <c r="D20" s="5" t="s">
        <v>16</v>
      </c>
      <c r="E20" s="5" t="s">
        <v>19</v>
      </c>
    </row>
    <row r="21" ht="15.75" customHeight="1">
      <c r="A21" s="7" t="s">
        <v>33</v>
      </c>
      <c r="B21" s="12">
        <f>COUNTIF(Clean_Data!$J$2:$J$475,A21)</f>
        <v>370</v>
      </c>
      <c r="C21" s="14">
        <f>AVERAGEIF(Clean_Data!$J$2:$J$475,A21,Clean_Data!$F$2:$F$475)</f>
        <v>36023.31081</v>
      </c>
      <c r="D21" s="14">
        <f>AVERAGEIF(Clean_Data!$J$2:$J$475,A21,Clean_Data!$G$2:$G$475)</f>
        <v>17673.01351</v>
      </c>
      <c r="E21" s="15">
        <f t="shared" ref="E21:E22" si="3">B21/B$23</f>
        <v>0.7805907173</v>
      </c>
    </row>
    <row r="22" ht="15.75" customHeight="1">
      <c r="A22" s="7" t="s">
        <v>113</v>
      </c>
      <c r="B22" s="12">
        <f>COUNTIF(Clean_Data!$J$2:$J$475,A22)</f>
        <v>104</v>
      </c>
      <c r="C22" s="14">
        <f>AVERAGEIF(Clean_Data!$J$2:$J$475,A22,Clean_Data!$F$2:$F$475)</f>
        <v>28713.94231</v>
      </c>
      <c r="D22" s="14">
        <f>AVERAGEIF(Clean_Data!$J$2:$J$475,A22,Clean_Data!$G$2:$G$475)</f>
        <v>14678.94231</v>
      </c>
      <c r="E22" s="15">
        <f t="shared" si="3"/>
        <v>0.2194092827</v>
      </c>
    </row>
    <row r="23" ht="15.75" customHeight="1">
      <c r="A23" s="16" t="s">
        <v>175</v>
      </c>
      <c r="B23" s="17">
        <f>SUM(B21:B22)</f>
        <v>474</v>
      </c>
      <c r="C23" s="18">
        <f>AVERAGE(Clean_Data!$F$2:$F$475)</f>
        <v>34419.56751</v>
      </c>
      <c r="D23" s="18">
        <f>AVERAGE(Clean_Data!$G$2:$G$475)</f>
        <v>17016.0865</v>
      </c>
      <c r="E23" s="19">
        <f>SUM(E21:E22)</f>
        <v>1</v>
      </c>
    </row>
    <row r="24" ht="15.75" customHeight="1"/>
    <row r="25" ht="15.75" customHeight="1"/>
    <row r="26" ht="15.75" customHeight="1">
      <c r="A26" s="4" t="s">
        <v>345</v>
      </c>
    </row>
    <row r="27" ht="15.75" customHeight="1">
      <c r="A27" s="5" t="s">
        <v>28</v>
      </c>
      <c r="B27" s="5" t="s">
        <v>25</v>
      </c>
      <c r="C27" s="5" t="s">
        <v>133</v>
      </c>
      <c r="D27" s="5" t="s">
        <v>26</v>
      </c>
    </row>
    <row r="28" ht="15.75" customHeight="1">
      <c r="A28" s="7" t="s">
        <v>43</v>
      </c>
      <c r="B28" s="14">
        <f>IFERROR(AVERAGEIFS(Clean_Data!$F$2:$F$475,Clean_Data!$B$2:$B$475,$A28,Clean_Data!$E$2:$E$475,B$27),0)</f>
        <v>25003.68932</v>
      </c>
      <c r="C28" s="14">
        <f>IFERROR(AVERAGEIFS(Clean_Data!$F$2:$F$475,Clean_Data!$B$2:$B$475,$A28,Clean_Data!$E$2:$E$475,C$27),0)</f>
        <v>0</v>
      </c>
      <c r="D28" s="14">
        <f>IFERROR(AVERAGEIFS(Clean_Data!$F$2:$F$475,Clean_Data!$B$2:$B$475,$A28,Clean_Data!$E$2:$E$475,D$27),0)</f>
        <v>47213.5</v>
      </c>
    </row>
    <row r="29" ht="15.75" customHeight="1">
      <c r="A29" s="7" t="s">
        <v>20</v>
      </c>
      <c r="B29" s="14">
        <f>IFERROR(AVERAGEIFS(Clean_Data!$F$2:$F$475,Clean_Data!$B$2:$B$475,$A29,Clean_Data!$E$2:$E$475,B$27),0)</f>
        <v>31558.15287</v>
      </c>
      <c r="C29" s="14">
        <f>IFERROR(AVERAGEIFS(Clean_Data!$F$2:$F$475,Clean_Data!$B$2:$B$475,$A29,Clean_Data!$E$2:$E$475,C$27),0)</f>
        <v>30938.88889</v>
      </c>
      <c r="D29" s="14">
        <f>IFERROR(AVERAGEIFS(Clean_Data!$F$2:$F$475,Clean_Data!$B$2:$B$475,$A29,Clean_Data!$E$2:$E$475,D$27),0)</f>
        <v>66243.24324</v>
      </c>
    </row>
    <row r="30" ht="15.75" customHeight="1">
      <c r="A30" s="3" t="s">
        <v>402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2.14"/>
    <col customWidth="1" min="2" max="2" width="31.29"/>
  </cols>
  <sheetData>
    <row r="1"/>
    <row r="2"/>
    <row r="3"/>
    <row r="4"/>
    <row r="5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43"/>
    <col customWidth="1" min="2" max="2" width="33.71"/>
    <col customWidth="1" min="3" max="3" width="23.43"/>
    <col customWidth="1" min="4" max="4" width="20.71"/>
    <col customWidth="1" min="5" max="5" width="29.57"/>
    <col customWidth="1" min="6" max="6" width="18.0"/>
    <col customWidth="1" min="7" max="26" width="8.71"/>
  </cols>
  <sheetData>
    <row r="1">
      <c r="A1" s="1" t="s">
        <v>921</v>
      </c>
    </row>
    <row r="2">
      <c r="A2" s="3" t="s">
        <v>923</v>
      </c>
    </row>
    <row r="4" ht="31.5" customHeight="1">
      <c r="A4" s="5" t="s">
        <v>927</v>
      </c>
      <c r="B4" s="5" t="s">
        <v>53</v>
      </c>
      <c r="C4" s="5" t="s">
        <v>58</v>
      </c>
      <c r="D4" s="5" t="s">
        <v>62</v>
      </c>
      <c r="E4" s="5" t="s">
        <v>66</v>
      </c>
      <c r="F4" s="5" t="s">
        <v>37</v>
      </c>
    </row>
    <row r="5">
      <c r="A5" s="16" t="s">
        <v>935</v>
      </c>
      <c r="B5" s="14">
        <f>AVERAGE(Clean_Data!$F$2:$F$475)</f>
        <v>34419.56751</v>
      </c>
      <c r="C5" s="14">
        <f>AVERAGE(Clean_Data!$G$2:$G$475)</f>
        <v>17016.0865</v>
      </c>
      <c r="D5" s="22">
        <f>AVERAGE(Clean_Data!$H$2:$H$475)</f>
        <v>81.10970464</v>
      </c>
      <c r="E5" s="22">
        <f>AVERAGE(Clean_Data!$I$2:$I$475)</f>
        <v>100.9733333</v>
      </c>
      <c r="F5" s="22">
        <f>AVERAGE(Clean_Data!$D$2:$D$475)</f>
        <v>13.49156118</v>
      </c>
    </row>
    <row r="6">
      <c r="A6" s="16" t="s">
        <v>970</v>
      </c>
      <c r="B6" s="14">
        <f>MEDIAN(Clean_Data!$F$2:$F$475)</f>
        <v>28875</v>
      </c>
      <c r="C6" s="14">
        <f>MEDIAN(Clean_Data!$G$2:$G$475)</f>
        <v>15000</v>
      </c>
      <c r="D6" s="22">
        <f>MEDIAN(Clean_Data!$H$2:$H$475)</f>
        <v>81</v>
      </c>
      <c r="E6" s="22">
        <f>MEDIAN(Clean_Data!$I$2:$I$475)</f>
        <v>59</v>
      </c>
      <c r="F6" s="22">
        <f>MEDIAN(Clean_Data!$D$2:$D$475)</f>
        <v>12</v>
      </c>
    </row>
    <row r="7">
      <c r="A7" s="16" t="s">
        <v>987</v>
      </c>
      <c r="B7" s="14">
        <f>_xlfn.MODE.SNGL(Clean_Data!$F$2:$F$475)</f>
        <v>30750</v>
      </c>
      <c r="C7" s="14">
        <f>_xlfn.MODE.SNGL(Clean_Data!$G$2:$G$475)</f>
        <v>15000</v>
      </c>
      <c r="D7" s="22">
        <f>_xlfn.MODE.SNGL(Clean_Data!$H$2:$H$475)</f>
        <v>93</v>
      </c>
      <c r="E7" s="22">
        <f>_xlfn.MODE.SNGL(Clean_Data!$I$2:$I$475)</f>
        <v>5</v>
      </c>
      <c r="F7" s="22">
        <f>_xlfn.MODE.SNGL(Clean_Data!$D$2:$D$475)</f>
        <v>12</v>
      </c>
    </row>
    <row r="8">
      <c r="A8" s="16" t="s">
        <v>1006</v>
      </c>
      <c r="B8" s="14">
        <f>MIN(Clean_Data!$F$2:$F$475)</f>
        <v>15750</v>
      </c>
      <c r="C8" s="14">
        <f>MIN(Clean_Data!$G$2:$G$475)</f>
        <v>9000</v>
      </c>
      <c r="D8" s="22">
        <f>MIN(Clean_Data!$H$2:$H$475)</f>
        <v>63</v>
      </c>
      <c r="E8" s="22">
        <f>MIN(Clean_Data!$I$2:$I$475)</f>
        <v>2</v>
      </c>
      <c r="F8" s="22">
        <f>MIN(Clean_Data!$D$2:$D$475)</f>
        <v>8</v>
      </c>
    </row>
    <row r="9">
      <c r="A9" s="16" t="s">
        <v>1026</v>
      </c>
      <c r="B9" s="14">
        <f>MAX(Clean_Data!$F$2:$F$475)</f>
        <v>135000</v>
      </c>
      <c r="C9" s="14">
        <f>MAX(Clean_Data!$G$2:$G$475)</f>
        <v>79980</v>
      </c>
      <c r="D9" s="22">
        <f>MAX(Clean_Data!$H$2:$H$475)</f>
        <v>98</v>
      </c>
      <c r="E9" s="22">
        <f>MAX(Clean_Data!$I$2:$I$475)</f>
        <v>476</v>
      </c>
      <c r="F9" s="22">
        <f>MAX(Clean_Data!$D$2:$D$475)</f>
        <v>21</v>
      </c>
    </row>
    <row r="10">
      <c r="A10" s="16" t="s">
        <v>1044</v>
      </c>
      <c r="B10" s="14">
        <f>_xlfn.STDEV.S(Clean_Data!$F$2:$F$475)</f>
        <v>17075.66146</v>
      </c>
      <c r="C10" s="14">
        <f>_xlfn.STDEV.S(Clean_Data!$G$2:$G$475)</f>
        <v>7870.638154</v>
      </c>
      <c r="D10" s="22">
        <f>_xlfn.STDEV.S(Clean_Data!$H$2:$H$475)</f>
        <v>10.06094487</v>
      </c>
      <c r="E10" s="22">
        <f>_xlfn.STDEV.S(Clean_Data!$I$2:$I$475)</f>
        <v>104.9074434</v>
      </c>
      <c r="F10" s="22">
        <f>_xlfn.STDEV.S(Clean_Data!$D$2:$D$475)</f>
        <v>2.884846406</v>
      </c>
    </row>
    <row r="11">
      <c r="A11" s="16" t="s">
        <v>1060</v>
      </c>
      <c r="B11" s="12">
        <f>COUNT(Clean_Data!$F$2:$F$475)</f>
        <v>474</v>
      </c>
      <c r="C11" s="12">
        <f>COUNT(Clean_Data!$G$2:$G$475)</f>
        <v>474</v>
      </c>
      <c r="D11" s="12">
        <f>COUNT(Clean_Data!$H$2:$H$475)</f>
        <v>474</v>
      </c>
      <c r="E11" s="12">
        <f>COUNT(Clean_Data!$I$2:$I$475)</f>
        <v>450</v>
      </c>
      <c r="F11" s="12">
        <f>COUNT(Clean_Data!$D$2:$D$475)</f>
        <v>474</v>
      </c>
    </row>
    <row r="12">
      <c r="A12" s="16" t="s">
        <v>1076</v>
      </c>
      <c r="B12" s="12">
        <f>COUNTBLANK(Clean_Data!$F$2:$F$475)</f>
        <v>0</v>
      </c>
      <c r="C12" s="12">
        <f>COUNTBLANK(Clean_Data!$G$2:$G$475)</f>
        <v>0</v>
      </c>
      <c r="D12" s="12">
        <f>COUNTBLANK(Clean_Data!$H$2:$H$475)</f>
        <v>0</v>
      </c>
      <c r="E12" s="12">
        <f>COUNTBLANK(Clean_Data!$I$2:$I$475)</f>
        <v>24</v>
      </c>
      <c r="F12" s="12">
        <f>COUNTBLANK(Clean_Data!$D$2:$D$475)</f>
        <v>0</v>
      </c>
    </row>
    <row r="15">
      <c r="A15" s="4" t="s">
        <v>1091</v>
      </c>
    </row>
    <row r="16">
      <c r="A16" s="6" t="s">
        <v>1093</v>
      </c>
      <c r="B16" s="6">
        <f>COUNTA(Clean_Data!$A$2:$A$475)</f>
        <v>474</v>
      </c>
    </row>
    <row r="17">
      <c r="A17" s="6" t="s">
        <v>1096</v>
      </c>
      <c r="B17" s="6">
        <f>COUNTA(Raw_Data!$A$2:$A$475)</f>
        <v>474</v>
      </c>
    </row>
    <row r="18">
      <c r="A18" s="6"/>
      <c r="B18" s="6">
        <f>B17-B16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